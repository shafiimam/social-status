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ore facts" sheetId="2" state="visible" r:id="rId4"/>
    <sheet name="SEO-13 Store pages" sheetId="3" state="visible" r:id="rId5"/>
    <sheet name="SEO-16 Homepage" sheetId="4" state="visible" r:id="rId6"/>
    <sheet name="SEO-17 Pages" sheetId="5" state="visible" r:id="rId7"/>
    <sheet name="SEO-18 Collections" sheetId="6" state="visible" r:id="rId8"/>
    <sheet name="SEO-24 Brand intros" sheetId="7" state="visible" r:id="rId9"/>
  </sheets>
  <definedNames>
    <definedName function="false" hidden="true" localSheetId="2" name="_xlnm._FilterDatabase" vbProcedure="false">'SEO-13 Store pages'!$A$1:$P$13</definedName>
    <definedName function="false" hidden="true" localSheetId="3" name="_xlnm._FilterDatabase" vbProcedure="false">'SEO-16 Homepage'!$A$1:$G$4</definedName>
    <definedName function="false" hidden="true" localSheetId="4" name="_xlnm._FilterDatabase" vbProcedure="false">'SEO-17 Pages'!$A$1:$K$48</definedName>
    <definedName function="false" hidden="true" localSheetId="5" name="_xlnm._FilterDatabase" vbProcedure="false">'SEO-18 Collections'!$A$1:$P$155</definedName>
    <definedName function="false" hidden="true" localSheetId="6" name="_xlnm._FilterDatabase" vbProcedure="false">'SEO-24 Brand intros'!$A$1:$G$17</definedName>
    <definedName function="false" hidden="true" localSheetId="1" name="_xlnm._FilterDatabase" vbProcedure="false">'Store facts'!$A$1:$S$13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<sst xmlns="http://schemas.openxmlformats.org/spreadsheetml/2006/main" count="1460" uniqueCount="826">
  <si>
    <t xml:space="preserve">Social Status SEO — content sheet</t>
  </si>
  <si>
    <t xml:space="preserve">Prepared 3 Oct 2026. Current titles and descriptions were read from the live site on 2–3 Oct 2026.</t>
  </si>
  <si>
    <t xml:space="preserve">How to use</t>
  </si>
  <si>
    <t xml:space="preserve">1. Yellow cells are for your team to fill in. Do not edit white cells; they show what is live today or count characters for you.</t>
  </si>
  <si>
    <t xml:space="preserve">2. The Length column counts characters as you type. The Check column turns green (OK) or red (Too long / Too short).</t>
  </si>
  <si>
    <t xml:space="preserve">3. Set Status to Ready when a row is approved internally. Shafi puts Ready rows on the site and sets them to Live.</t>
  </si>
  <si>
    <t xml:space="preserve">4. One tab per task. Task codes (SEO-13 etc.) match the Content Tasks doc and the main project plan.</t>
  </si>
  <si>
    <t xml:space="preserve">Length rules</t>
  </si>
  <si>
    <t xml:space="preserve">SEO title: 50 to 60 characters. The blue clickable line in Google.</t>
  </si>
  <si>
    <t xml:space="preserve">Meta description: 140 to 160 characters. The grey text under the title in Google.</t>
  </si>
  <si>
    <t xml:space="preserve">Page heading (H1): 2 to 8 words, normal capitals.</t>
  </si>
  <si>
    <t xml:space="preserve">Store intro: 60 to 100 words. Brand intro: 80 to 120 words.</t>
  </si>
  <si>
    <t xml:space="preserve">Tabs</t>
  </si>
  <si>
    <t xml:space="preserve">Store facts — address, phone, hours and map link for 10 stores. Needed first.</t>
  </si>
  <si>
    <t xml:space="preserve">SEO-13 Store pages — title, description, heading and intro for each store page.</t>
  </si>
  <si>
    <t xml:space="preserve">SEO-16 Homepage — homepage title and description.</t>
  </si>
  <si>
    <t xml:space="preserve">SEO-17 Pages — descriptions for information pages. Shafi confirms which pages stay before your team writes.</t>
  </si>
  <si>
    <t xml:space="preserve">SEO-18 Collections — all 154 collections with what is live today. Shafi marks the top 40 from Search Console; write only those.</t>
  </si>
  <si>
    <t xml:space="preserve">SEO-24 Brand intros — intro paragraphs for 15 brand collections, agreed with Shafi.</t>
  </si>
  <si>
    <t xml:space="preserve">Example rows are marked EXAMPLE and use made-up values. Delete them before handing back.</t>
  </si>
  <si>
    <t xml:space="preserve">Store page</t>
  </si>
  <si>
    <t xml:space="preserve">Page URL</t>
  </si>
  <si>
    <t xml:space="preserve">Store name (as it should appear)</t>
  </si>
  <si>
    <t xml:space="preserve">Street address</t>
  </si>
  <si>
    <t xml:space="preserve">City</t>
  </si>
  <si>
    <t xml:space="preserve">State</t>
  </si>
  <si>
    <t xml:space="preserve">ZIP</t>
  </si>
  <si>
    <t xml:space="preserve">Phone</t>
  </si>
  <si>
    <t xml:space="preserve">Mon</t>
  </si>
  <si>
    <t xml:space="preserve">Tue</t>
  </si>
  <si>
    <t xml:space="preserve">Wed</t>
  </si>
  <si>
    <t xml:space="preserve">Thu</t>
  </si>
  <si>
    <t xml:space="preserve">Fri</t>
  </si>
  <si>
    <t xml:space="preserve">Sat</t>
  </si>
  <si>
    <t xml:space="preserve">Sun</t>
  </si>
  <si>
    <t xml:space="preserve">Google Maps link</t>
  </si>
  <si>
    <t xml:space="preserve">Matches Google Business Profile? (Yes/No)</t>
  </si>
  <si>
    <t xml:space="preserve">Confirmed by</t>
  </si>
  <si>
    <t xml:space="preserve">Status</t>
  </si>
  <si>
    <t xml:space="preserve">EXAMPLE — delete</t>
  </si>
  <si>
    <t xml:space="preserve">https://www.socialstatuspgh.com/pages/example-store</t>
  </si>
  <si>
    <t xml:space="preserve">Social Status Example City</t>
  </si>
  <si>
    <t xml:space="preserve">123 Example St</t>
  </si>
  <si>
    <t xml:space="preserve">Example City</t>
  </si>
  <si>
    <t xml:space="preserve">NC</t>
  </si>
  <si>
    <t xml:space="preserve">00000</t>
  </si>
  <si>
    <t xml:space="preserve">(000) 555-0100</t>
  </si>
  <si>
    <t xml:space="preserve">11am–7pm</t>
  </si>
  <si>
    <t xml:space="preserve">11am–8pm</t>
  </si>
  <si>
    <t xml:space="preserve">12pm–6pm</t>
  </si>
  <si>
    <t xml:space="preserve">https://maps.google.com/?cid=EXAMPLE</t>
  </si>
  <si>
    <t xml:space="preserve">Yes</t>
  </si>
  <si>
    <t xml:space="preserve">Name</t>
  </si>
  <si>
    <t xml:space="preserve">Ready</t>
  </si>
  <si>
    <t xml:space="preserve">Social Status Charlotte</t>
  </si>
  <si>
    <t xml:space="preserve">https://www.socialstatuspgh.com/pages/social-status-charlotte</t>
  </si>
  <si>
    <t xml:space="preserve">Not started</t>
  </si>
  <si>
    <t xml:space="preserve">Social Status Atlanta</t>
  </si>
  <si>
    <t xml:space="preserve">https://www.socialstatuspgh.com/pages/social-status-atlanta</t>
  </si>
  <si>
    <t xml:space="preserve">Social Status Baltimore</t>
  </si>
  <si>
    <t xml:space="preserve">https://www.socialstatuspgh.com/pages/social-status-baltimore</t>
  </si>
  <si>
    <t xml:space="preserve">Social Status Detroit</t>
  </si>
  <si>
    <t xml:space="preserve">https://www.socialstatuspgh.com/pages/social-status-detroit</t>
  </si>
  <si>
    <t xml:space="preserve">Social Status Downtown Pittsburgh</t>
  </si>
  <si>
    <t xml:space="preserve">https://www.socialstatuspgh.com/pages/social-status-downtown-pittsburgh</t>
  </si>
  <si>
    <t xml:space="preserve">Social Status El Pittsburgh</t>
  </si>
  <si>
    <t xml:space="preserve">https://www.socialstatuspgh.com/pages/social-status-el-pittsburgh</t>
  </si>
  <si>
    <t xml:space="preserve">Social Status Greensboro</t>
  </si>
  <si>
    <t xml:space="preserve">https://www.socialstatuspgh.com/pages/social-status-greensboro</t>
  </si>
  <si>
    <t xml:space="preserve">Social Status Houston</t>
  </si>
  <si>
    <t xml:space="preserve">https://www.socialstatuspgh.com/pages/social-status-houston</t>
  </si>
  <si>
    <t xml:space="preserve">Social Status Raleigh</t>
  </si>
  <si>
    <t xml:space="preserve">https://www.socialstatuspgh.com/pages/social-status-raleigh</t>
  </si>
  <si>
    <t xml:space="preserve">Social Status Tampa Bay</t>
  </si>
  <si>
    <t xml:space="preserve">https://www.socialstatuspgh.com/pages/social-status-tampa-bay</t>
  </si>
  <si>
    <t xml:space="preserve">Social Status Pittsburgh Flagship</t>
  </si>
  <si>
    <t xml:space="preserve">https://www.socialstatuspgh.com/pages/social-status-pittsburgh-flagship</t>
  </si>
  <si>
    <t xml:space="preserve">Current title (live)</t>
  </si>
  <si>
    <t xml:space="preserve">Current heading (live)</t>
  </si>
  <si>
    <t xml:space="preserve">Current description (live)</t>
  </si>
  <si>
    <t xml:space="preserve">New SEO title (50–60)</t>
  </si>
  <si>
    <t xml:space="preserve">Length</t>
  </si>
  <si>
    <t xml:space="preserve">Check</t>
  </si>
  <si>
    <t xml:space="preserve">New meta description (140–160)</t>
  </si>
  <si>
    <t xml:space="preserve">New page heading</t>
  </si>
  <si>
    <t xml:space="preserve">Intro paragraph (60–100 words)</t>
  </si>
  <si>
    <t xml:space="preserve">Words</t>
  </si>
  <si>
    <t xml:space="preserve">social status example city</t>
  </si>
  <si>
    <t xml:space="preserve">(none)</t>
  </si>
  <si>
    <t xml:space="preserve">Sneaker &amp; Streetwear Store in Example City | Social Status</t>
  </si>
  <si>
    <t xml:space="preserve">Visit Social Status in downtown Example City for sneakers, streetwear and exclusive releases, plus community events in our beSocial space. Open daily.</t>
  </si>
  <si>
    <t xml:space="preserve">Made-up example text. Made-up example text. Made-up example text. Made-up example text. Made-up example text. Made-up example text. Made-up example text. Made-up example text. Made-up example text. Made-up example text. Made-up example text. Made-up example text. Made-up example text. Made-up example text. </t>
  </si>
  <si>
    <t xml:space="preserve">Draft</t>
  </si>
  <si>
    <t xml:space="preserve">social status charlotte</t>
  </si>
  <si>
    <t xml:space="preserve">SOCIAL STATUS BALTIMORE</t>
  </si>
  <si>
    <t xml:space="preserve">social status detroit</t>
  </si>
  <si>
    <t xml:space="preserve">Social Status Pittsburgh Flagship Opening</t>
  </si>
  <si>
    <t xml:space="preserve">social status greensboro</t>
  </si>
  <si>
    <t xml:space="preserve">social status raleigh</t>
  </si>
  <si>
    <t xml:space="preserve">Item</t>
  </si>
  <si>
    <t xml:space="preserve">Current (live)</t>
  </si>
  <si>
    <t xml:space="preserve">Current length</t>
  </si>
  <si>
    <t xml:space="preserve">New text</t>
  </si>
  <si>
    <t xml:space="preserve">SEO title (50–60)</t>
  </si>
  <si>
    <t xml:space="preserve">Social Status | Contemporary Menswear &amp; Footwear</t>
  </si>
  <si>
    <t xml:space="preserve">Meta description (140–160)</t>
  </si>
  <si>
    <t xml:space="preserve">Explore the finest collection of Men's streetwear and contemporary apparel and footwear at Social Status. Shop our curated and exclusive range of Men’s and Unisex garments from global brands, with coveted and limited sneakers, accessories, home goods and collectibles, all curated for the modern man and home.</t>
  </si>
  <si>
    <t xml:space="preserve">Meta description — option 2 (optional)</t>
  </si>
  <si>
    <t xml:space="preserve">The current title is a good length. Change it only if the positioning has changed.</t>
  </si>
  <si>
    <t xml:space="preserve">Page</t>
  </si>
  <si>
    <t xml:space="preserve">Suggested action (Shafi confirms)</t>
  </si>
  <si>
    <t xml:space="preserve">Final decision (Shafi)</t>
  </si>
  <si>
    <t xml:space="preserve">About Us</t>
  </si>
  <si>
    <t xml:space="preserve">https://www.socialstatuspgh.com/pages/about-us</t>
  </si>
  <si>
    <t xml:space="preserve">Keep — write description</t>
  </si>
  <si>
    <t xml:space="preserve">About Us – Social Status</t>
  </si>
  <si>
    <t xml:space="preserve">IN PURSUIT OF PROSPERITY WE CROSS MANY PATHS.In order to climb the ladder of success, socioeconomic paths must be crossed. From poverty to wealth, characteristics are built. Every experience, opportun</t>
  </si>
  <si>
    <t xml:space="preserve">Accessibility</t>
  </si>
  <si>
    <t xml:space="preserve">https://www.socialstatuspgh.com/pages/accessibility</t>
  </si>
  <si>
    <t xml:space="preserve">Accessibility – Social Status</t>
  </si>
  <si>
    <t xml:space="preserve">The Accessibly App is committed to making sites accessible for all, including people with disabilities. Continuously enhancing features to meet accessibility standards, they strive to create a better,</t>
  </si>
  <si>
    <t xml:space="preserve">APPOINTMENTS</t>
  </si>
  <si>
    <t xml:space="preserve">https://www.socialstatuspgh.com/pages/appointment</t>
  </si>
  <si>
    <t xml:space="preserve">APPOINTMENTS – Social Status</t>
  </si>
  <si>
    <t xml:space="preserve">https://book.appointment-plus.com/b943sldk#/</t>
  </si>
  <si>
    <t xml:space="preserve">Attend An Event</t>
  </si>
  <si>
    <t xml:space="preserve">https://www.socialstatuspgh.com/pages/attend-an-event</t>
  </si>
  <si>
    <t xml:space="preserve">Attend An Event – Social Status</t>
  </si>
  <si>
    <t xml:space="preserve">beSocial</t>
  </si>
  <si>
    <t xml:space="preserve">https://www.socialstatuspgh.com/pages/besocial</t>
  </si>
  <si>
    <t xml:space="preserve">beSocial – Social Status</t>
  </si>
  <si>
    <t xml:space="preserve">We've created a space to engage our consumers with interactive programs and events - beSocial is a creative hub and community space, housed in the back of our Charlotte store, that aims to organically</t>
  </si>
  <si>
    <t xml:space="preserve">Book An Event</t>
  </si>
  <si>
    <t xml:space="preserve">https://www.socialstatuspgh.com/pages/book-an-event</t>
  </si>
  <si>
    <t xml:space="preserve">Book An Event – Social Status</t>
  </si>
  <si>
    <t xml:space="preserve">Business Inquiries</t>
  </si>
  <si>
    <t xml:space="preserve">https://www.socialstatuspgh.com/pages/business-inquiries</t>
  </si>
  <si>
    <t xml:space="preserve">Business Inquiries – Social Status</t>
  </si>
  <si>
    <t xml:space="preserve">Reach out to Social Status for all business inquiries, including brand partnerships, press opportunities, and collaboration requests. Contact us today.</t>
  </si>
  <si>
    <t xml:space="preserve">Contact Us | Reach Out to the Social Status Team| Social Status</t>
  </si>
  <si>
    <t xml:space="preserve">https://www.socialstatuspgh.com/pages/contact-us</t>
  </si>
  <si>
    <t xml:space="preserve">Contact us at the Social Status for customer support and inquiries. Reach us easily via email or live chat. We are dedicated to assisting with your inquiries!</t>
  </si>
  <si>
    <t xml:space="preserve">FAQ: Web-store Inquiries</t>
  </si>
  <si>
    <t xml:space="preserve">https://www.socialstatuspgh.com/pages/faq-web-store-inquiries</t>
  </si>
  <si>
    <t xml:space="preserve">FAQ: Web-store Inquiries – Social Status</t>
  </si>
  <si>
    <t xml:space="preserve">Lorem, ipsum dolor sit amet consectetur adipisicing elit? Lorem, ipsum dolor sit amet consectetur adipisicing elit. Autem, excepturi exercitationem. Natus aliquid, unde pariatur sit asperiores aperiam</t>
  </si>
  <si>
    <t xml:space="preserve">Help Center</t>
  </si>
  <si>
    <t xml:space="preserve">https://www.socialstatuspgh.com/pages/help-center</t>
  </si>
  <si>
    <t xml:space="preserve">Help Center – Social Status</t>
  </si>
  <si>
    <t xml:space="preserve">Get detailed information about our shipping policy, and return policy. Visit our help center for answers to all your questions &amp; seamless shopping support!</t>
  </si>
  <si>
    <t xml:space="preserve">Our Stores</t>
  </si>
  <si>
    <t xml:space="preserve">https://www.socialstatuspgh.com/pages/our-stores</t>
  </si>
  <si>
    <t xml:space="preserve">Our Stores – Social Status</t>
  </si>
  <si>
    <t xml:space="preserve">RETURNS &amp; EXCHANGES</t>
  </si>
  <si>
    <t xml:space="preserve">https://www.socialstatuspgh.com/pages/returns-exchanges</t>
  </si>
  <si>
    <t xml:space="preserve">RETURNS &amp; EXCHANGES – Social Status</t>
  </si>
  <si>
    <t xml:space="preserve">How to Return &amp;amp; Exchange an Item Domestic Returns Start Return (U.S.): social-status.loopreturns.com Domestic returns and exchanges must be requested within 7 days of your delivery date for online</t>
  </si>
  <si>
    <t xml:space="preserve">Shipping Information | Delivery Times, Policies &amp; More</t>
  </si>
  <si>
    <t xml:space="preserve">https://www.socialstatuspgh.com/pages/shipping</t>
  </si>
  <si>
    <t xml:space="preserve">Shipping Information | Delivery Times, Policies &amp; More – Social Status</t>
  </si>
  <si>
    <t xml:space="preserve">Explore Social Status’s shipping info for detailed delivery options, costs, and timelines—ensuring a smooth, reliable, and hassle-free shopping experience.</t>
  </si>
  <si>
    <t xml:space="preserve">Social Status’s Privacy Statement</t>
  </si>
  <si>
    <t xml:space="preserve">https://www.socialstatuspgh.com/pages/privacy-statement</t>
  </si>
  <si>
    <t xml:space="preserve">Review Social Status’s Privacy Statement to learn how we collect, use, and protect your personal data, ensuring transparency and trust in every transaction.</t>
  </si>
  <si>
    <t xml:space="preserve">Terms and Conditions</t>
  </si>
  <si>
    <t xml:space="preserve">https://www.socialstatuspgh.com/pages/terms-and-conditions-2024</t>
  </si>
  <si>
    <t xml:space="preserve">Terms and Conditions – Social Status</t>
  </si>
  <si>
    <t xml:space="preserve">Explore Social Status's Terms and Conditions to understand our policies on orders, returns, customer service, and more, ensuring a seamless experience.</t>
  </si>
  <si>
    <t xml:space="preserve">Terms of Service</t>
  </si>
  <si>
    <t xml:space="preserve">https://www.socialstatuspgh.com/pages/terms-of-service</t>
  </si>
  <si>
    <t xml:space="preserve">Terms of Service – Social Status</t>
  </si>
  <si>
    <t xml:space="preserve">SOCIAL STATUS TERMS OF SERVICE Effective Date: December 12, 2024 Changes to Terms: We reserve the right to update these terms at any time. Business Operations: Social Status operates under various bus</t>
  </si>
  <si>
    <t xml:space="preserve">Apparel</t>
  </si>
  <si>
    <t xml:space="preserve">https://www.socialstatuspgh.com/pages/apparel</t>
  </si>
  <si>
    <t xml:space="preserve">Review: old or duplicate?</t>
  </si>
  <si>
    <t xml:space="preserve">Apparel – Social Status</t>
  </si>
  <si>
    <t xml:space="preserve">Appointment Calendar</t>
  </si>
  <si>
    <t xml:space="preserve">https://www.socialstatuspgh.com/pages/appointment-calendar</t>
  </si>
  <si>
    <t xml:space="preserve">Appointment Calendar – Social Status</t>
  </si>
  <si>
    <t xml:space="preserve">Careers and Opportunities</t>
  </si>
  <si>
    <t xml:space="preserve">https://www.socialstatuspgh.com/pages/careers-and-opportunities-2</t>
  </si>
  <si>
    <t xml:space="preserve">Careers and Opportunities – Social Status</t>
  </si>
  <si>
    <t xml:space="preserve">Color Code</t>
  </si>
  <si>
    <t xml:space="preserve">https://www.socialstatuspgh.com/pages/color-code</t>
  </si>
  <si>
    <t xml:space="preserve">Color Code – Social Status</t>
  </si>
  <si>
    <t xml:space="preserve">This is a test of the text area of color code to see if it populates properly on the feed</t>
  </si>
  <si>
    <t xml:space="preserve">Do Not Duplicate</t>
  </si>
  <si>
    <t xml:space="preserve">https://www.socialstatuspgh.com/pages/do-not-duplicate</t>
  </si>
  <si>
    <t xml:space="preserve">Do Not Duplicate – Social Status</t>
  </si>
  <si>
    <t xml:space="preserve">Foamposite</t>
  </si>
  <si>
    <t xml:space="preserve">https://www.socialstatuspgh.com/pages/foamposite</t>
  </si>
  <si>
    <t xml:space="preserve">Foamposite – Social Status</t>
  </si>
  <si>
    <t xml:space="preserve">Free Game | Community-Driven Education and Empowerment</t>
  </si>
  <si>
    <t xml:space="preserve">https://www.socialstatuspgh.com/pages/free-game</t>
  </si>
  <si>
    <t xml:space="preserve">Free Game | Community-Driven Education and Empowerment – Social Status</t>
  </si>
  <si>
    <t xml:space="preserve">Unlock Free Game by Social Status—a platform empowering the next generation through mentorship, resources, and community-driven education. Learn. Build. Elevate.</t>
  </si>
  <si>
    <t xml:space="preserve">Locations</t>
  </si>
  <si>
    <t xml:space="preserve">https://www.socialstatuspgh.com/pages/locations-1</t>
  </si>
  <si>
    <t xml:space="preserve">Locations – Social Status</t>
  </si>
  <si>
    <t xml:space="preserve">Text</t>
  </si>
  <si>
    <t xml:space="preserve">Our Story</t>
  </si>
  <si>
    <t xml:space="preserve">https://www.socialstatuspgh.com/pages/our-story</t>
  </si>
  <si>
    <t xml:space="preserve">Our Story – Social Status</t>
  </si>
  <si>
    <t xml:space="preserve">Lorem ipsum dolor sit amet, consectetur adipiscing elit, sed do eiusmod tempor incididunt ut labore et dolore magna aliqua. Ut enim ad minim veniam, quis nostrud exercitation ullamco laboris nisi ut a</t>
  </si>
  <si>
    <t xml:space="preserve">Penny 2 White</t>
  </si>
  <si>
    <t xml:space="preserve">https://www.socialstatuspgh.com/pages/penny-2-white</t>
  </si>
  <si>
    <t xml:space="preserve">Penny 2 White – Social Status</t>
  </si>
  <si>
    <t xml:space="preserve">RSVP</t>
  </si>
  <si>
    <t xml:space="preserve">https://www.socialstatuspgh.com/pages/rsvp</t>
  </si>
  <si>
    <t xml:space="preserve">RSVP – Social Status</t>
  </si>
  <si>
    <t xml:space="preserve">TWG x NB 1906U “Willful Bias”</t>
  </si>
  <si>
    <t xml:space="preserve">https://www.socialstatuspgh.com/pages/twg-x-nb-1906u-willful-bias</t>
  </si>
  <si>
    <t xml:space="preserve">TWG x NB 1906U “Willful Bias” – Social Status</t>
  </si>
  <si>
    <t xml:space="preserve">About Us | The Future of Streetwear | Social Status</t>
  </si>
  <si>
    <t xml:space="preserve">https://www.socialstatuspgh.com/pages/copy-of-about-us</t>
  </si>
  <si>
    <t xml:space="preserve">Likely remove or hide</t>
  </si>
  <si>
    <t xml:space="preserve">Learn about Social Status, a luxury fashion destination offering curated collections of designer apparel, footwear, accessories and more. Discover our story.</t>
  </si>
  <si>
    <t xml:space="preserve">beSocial Covid Policy and Procedures</t>
  </si>
  <si>
    <t xml:space="preserve">https://www.socialstatuspgh.com/pages/besocial-covid-policy-and-procedures</t>
  </si>
  <si>
    <t xml:space="preserve">beSocial Covid Policy and Procedures – Social Status</t>
  </si>
  <si>
    <t xml:space="preserve">beSOCIAL Atlanta 30 event guests Charlotte/Pittsburgh 20 event guests Houston 15 event guests All Events 2 community attendants on the schedule Mask mandate and temperature checks at the door Communit</t>
  </si>
  <si>
    <t xml:space="preserve">Cancellation</t>
  </si>
  <si>
    <t xml:space="preserve">https://www.socialstatuspgh.com/pages/widerruf-formular</t>
  </si>
  <si>
    <t xml:space="preserve">Cancellation – Social Status</t>
  </si>
  <si>
    <t xml:space="preserve">Please use the form below to submit your cancellation.</t>
  </si>
  <si>
    <t xml:space="preserve">individual store template</t>
  </si>
  <si>
    <t xml:space="preserve">https://www.socialstatuspgh.com/pages/individual-store-template</t>
  </si>
  <si>
    <t xml:space="preserve">individual store template – Social Status</t>
  </si>
  <si>
    <t xml:space="preserve">Job #1 SA Greensboro</t>
  </si>
  <si>
    <t xml:space="preserve">https://www.socialstatuspgh.com/pages/salesassociategreensboro</t>
  </si>
  <si>
    <t xml:space="preserve">Job #1 SA Greensboro – Social Status</t>
  </si>
  <si>
    <t xml:space="preserve">Job - Assistant Manager Houston</t>
  </si>
  <si>
    <t xml:space="preserve">https://www.socialstatuspgh.com/pages/job-assistant-manager-houston</t>
  </si>
  <si>
    <t xml:space="preserve">Job - Assistant Manager Houston – Social Status</t>
  </si>
  <si>
    <t xml:space="preserve">Job - beSocial Attendant Atlanta</t>
  </si>
  <si>
    <t xml:space="preserve">https://www.socialstatuspgh.com/pages/job-besocial-attendant-atlanta</t>
  </si>
  <si>
    <t xml:space="preserve">Job - beSocial Attendant Atlanta – Social Status</t>
  </si>
  <si>
    <t xml:space="preserve">Job - beSocial Attendant HTX</t>
  </si>
  <si>
    <t xml:space="preserve">https://www.socialstatuspgh.com/pages/job-besocial-attendant-htx</t>
  </si>
  <si>
    <t xml:space="preserve">Job - beSocial Attendant HTX – Social Status</t>
  </si>
  <si>
    <t xml:space="preserve">Job - E-Commerce Photographer</t>
  </si>
  <si>
    <t xml:space="preserve">https://www.socialstatuspgh.com/pages/job-e-commerce-photographer</t>
  </si>
  <si>
    <t xml:space="preserve">Job - E-Commerce Photographer – Social Status</t>
  </si>
  <si>
    <t xml:space="preserve">Job - Product Line Manager</t>
  </si>
  <si>
    <t xml:space="preserve">https://www.socialstatuspgh.com/pages/job-product-line-manager</t>
  </si>
  <si>
    <t xml:space="preserve">Job - Product Line Manager – Social Status</t>
  </si>
  <si>
    <t xml:space="preserve">Job - Sales Associate Tampa</t>
  </si>
  <si>
    <t xml:space="preserve">https://www.socialstatuspgh.com/pages/job-sales-associate-tampa</t>
  </si>
  <si>
    <t xml:space="preserve">Job - Sales Associate Tampa – Social Status</t>
  </si>
  <si>
    <t xml:space="preserve">Job - Store Manager Houston</t>
  </si>
  <si>
    <t xml:space="preserve">https://www.socialstatuspgh.com/pages/job-store-manager-houston</t>
  </si>
  <si>
    <t xml:space="preserve">Job - Store Manager Houston – Social Status</t>
  </si>
  <si>
    <t xml:space="preserve">Key Holder Charlotte</t>
  </si>
  <si>
    <t xml:space="preserve">https://www.socialstatuspgh.com/pages/key-holder-charlotte</t>
  </si>
  <si>
    <t xml:space="preserve">Key Holder Charlotte – Social Status</t>
  </si>
  <si>
    <t xml:space="preserve">Sales Associate Houston</t>
  </si>
  <si>
    <t xml:space="preserve">https://www.socialstatuspgh.com/pages/job-sales-associate-houston</t>
  </si>
  <si>
    <t xml:space="preserve">Sales Associate Houston – Social Status</t>
  </si>
  <si>
    <t xml:space="preserve">Sales Associate Raleigh</t>
  </si>
  <si>
    <t xml:space="preserve">https://www.socialstatuspgh.com/pages/sales-associate-raleigh</t>
  </si>
  <si>
    <t xml:space="preserve">Sales Associate Raleigh – Social Status</t>
  </si>
  <si>
    <t xml:space="preserve">Search Results</t>
  </si>
  <si>
    <t xml:space="preserve">https://www.socialstatuspgh.com/pages/search-results</t>
  </si>
  <si>
    <t xml:space="preserve">Search Results – Social Status</t>
  </si>
  <si>
    <t xml:space="preserve">Thank You</t>
  </si>
  <si>
    <t xml:space="preserve">https://www.socialstatuspgh.com/pages/thank-you</t>
  </si>
  <si>
    <t xml:space="preserve">Thank You – Social Status</t>
  </si>
  <si>
    <t xml:space="preserve">text</t>
  </si>
  <si>
    <t xml:space="preserve">Warehouse 1st Shift</t>
  </si>
  <si>
    <t xml:space="preserve">https://www.socialstatuspgh.com/pages/warehouse-1st-shift</t>
  </si>
  <si>
    <t xml:space="preserve">Warehouse 1st Shift – Social Status</t>
  </si>
  <si>
    <t xml:space="preserve">Warehouse 2nd Shift</t>
  </si>
  <si>
    <t xml:space="preserve">https://www.socialstatuspgh.com/pages/warehouse-2nd-shift</t>
  </si>
  <si>
    <t xml:space="preserve">Warehouse 2nd Shift – Social Status</t>
  </si>
  <si>
    <t xml:space="preserve">Collection</t>
  </si>
  <si>
    <t xml:space="preserve">Top 40? (Shafi marks from Search Console)</t>
  </si>
  <si>
    <t xml:space="preserve">What is missing today</t>
  </si>
  <si>
    <t xml:space="preserve">Products showing</t>
  </si>
  <si>
    <t xml:space="preserve">Title length</t>
  </si>
  <si>
    <t xml:space="preserve">Description length</t>
  </si>
  <si>
    <t xml:space="preserve">NIKE</t>
  </si>
  <si>
    <t xml:space="preserve">https://www.socialstatuspgh.com/collections/nike</t>
  </si>
  <si>
    <t xml:space="preserve">NIKE – Social Status</t>
  </si>
  <si>
    <t xml:space="preserve">Shop the latest Nike sneakers and apparel at Social Status. From classic silhouettes to performance-driven styles, find your next must-have piece today.</t>
  </si>
  <si>
    <t xml:space="preserve">JORDAN BRAND</t>
  </si>
  <si>
    <t xml:space="preserve">https://www.socialstatuspgh.com/collections/jordan</t>
  </si>
  <si>
    <t xml:space="preserve">Air Jordan Collection – Latest Sneakers &amp; Gear | Social Status</t>
  </si>
  <si>
    <t xml:space="preserve">Shop the latest Jordan Brand footwear, apparel and more at Social Status. From iconic retros to new releases, elevate your style with timeless Jordan Brand essentials.</t>
  </si>
  <si>
    <t xml:space="preserve">NEW BALANCE</t>
  </si>
  <si>
    <t xml:space="preserve">https://www.socialstatuspgh.com/collections/new-balance</t>
  </si>
  <si>
    <t xml:space="preserve">New Balance Sneakers for Men &amp; Women Collection | Social Status</t>
  </si>
  <si>
    <t xml:space="preserve">Experience the perfect blend of comfort and style with New Balance at Social Status. Find sneakers that fit your lifestyle. Shop the latest collection today.</t>
  </si>
  <si>
    <t xml:space="preserve">NEIGHBORHOOD</t>
  </si>
  <si>
    <t xml:space="preserve">https://www.socialstatuspgh.com/collections/neighborhood-technical-apparel-1</t>
  </si>
  <si>
    <t xml:space="preserve">Neighborhood For Men Collection | Techwear Drops at Social Status</t>
  </si>
  <si>
    <t xml:space="preserve">Explore the Neighborhood Technical Apparel collection at Social Status—utility-driven streetwear crafted with precision. Shop the collection today.</t>
  </si>
  <si>
    <t xml:space="preserve">SHOES</t>
  </si>
  <si>
    <t xml:space="preserve">https://www.socialstatuspgh.com/collections/sneakers</t>
  </si>
  <si>
    <t xml:space="preserve">Discover the Shoes for Men &amp; Women at Social Status</t>
  </si>
  <si>
    <t xml:space="preserve">Shop the latest shoe collection at Social Status, featuring top brands, limited releases, and street-ready styles for men and women. Elevate your footwear game.</t>
  </si>
  <si>
    <t xml:space="preserve">PUMA</t>
  </si>
  <si>
    <t xml:space="preserve">https://www.socialstatuspgh.com/collections/puma</t>
  </si>
  <si>
    <t xml:space="preserve">PUMA Collection | Sport-Inspired Footwear and Streetwear at Social Status</t>
  </si>
  <si>
    <t xml:space="preserve">Shop the latest PUMA collection at Social Status with our stylish range, from trendy sneakers to classic boots. Find the perfect pair for your style. Buy now!</t>
  </si>
  <si>
    <t xml:space="preserve">HUMAN MADE</t>
  </si>
  <si>
    <t xml:space="preserve">https://www.socialstatuspgh.com/collections/human-made</t>
  </si>
  <si>
    <t xml:space="preserve">Shop the Latest Human Made Collection | Social Status</t>
  </si>
  <si>
    <t xml:space="preserve">Upgrade your streetwear with Human Made apparel and accessories at Social Status. Stand out with unique designs and premium quality. Shop the collection now.</t>
  </si>
  <si>
    <t xml:space="preserve">NEW ARRIVALS</t>
  </si>
  <si>
    <t xml:space="preserve">https://www.socialstatuspgh.com/collections/new-arrivals-1</t>
  </si>
  <si>
    <t xml:space="preserve">NEW ARRIVALS – Social Status</t>
  </si>
  <si>
    <t xml:space="preserve">Stay ahead of trends with the latest arrivals at Social Status. Refresh your style with new footwear, apparel &amp; accessories. Shop the newest collections today.</t>
  </si>
  <si>
    <t xml:space="preserve">VANS</t>
  </si>
  <si>
    <t xml:space="preserve">https://www.socialstatuspgh.com/collections/vans</t>
  </si>
  <si>
    <t xml:space="preserve">Shop Vans Footwear &amp; Streetwear Collection | Social Status</t>
  </si>
  <si>
    <t xml:space="preserve">Shop the Vans collection at Social Status where classic skate silhouettes and modern designs blend everyday comfort with streetwear heritage.</t>
  </si>
  <si>
    <t xml:space="preserve">TIMBERLAND</t>
  </si>
  <si>
    <t xml:space="preserve">https://www.socialstatuspgh.com/collections/timberland</t>
  </si>
  <si>
    <t xml:space="preserve">Timberland Footwear | Rugged Boots and Street Staples | Social Status</t>
  </si>
  <si>
    <t xml:space="preserve">Step into Timberland at Social Status. From rugged durability to everyday comfort, find styles built for the city and beyond.</t>
  </si>
  <si>
    <t xml:space="preserve">Jason Markk</t>
  </si>
  <si>
    <t xml:space="preserve">https://www.socialstatuspgh.com/collections/jason-markk</t>
  </si>
  <si>
    <t xml:space="preserve">Jason Markk – Social Status</t>
  </si>
  <si>
    <t xml:space="preserve">REEBOK</t>
  </si>
  <si>
    <t xml:space="preserve">https://www.socialstatuspgh.com/collections/reebok</t>
  </si>
  <si>
    <t xml:space="preserve">Reebok Footwear Collection | Shop the Latest | Social Status</t>
  </si>
  <si>
    <t xml:space="preserve">Explore the Reebok collection at Social Status—classic sneakers and apparel with modern updates that blend heritage style with everyday performance. Step into timeless design.</t>
  </si>
  <si>
    <t xml:space="preserve">CONVERSE</t>
  </si>
  <si>
    <t xml:space="preserve">https://www.socialstatuspgh.com/collections/converse-1</t>
  </si>
  <si>
    <t xml:space="preserve">Converse Collection | Iconic Sneakers &amp; Limited-Edition Drops – Social Status</t>
  </si>
  <si>
    <t xml:space="preserve">Upgrade your look with our exclusive Converse collection, featuring the latest sneakers and apparel. Grab your favorites today and refresh your style.</t>
  </si>
  <si>
    <t xml:space="preserve">Icecream</t>
  </si>
  <si>
    <t xml:space="preserve">https://www.socialstatuspgh.com/collections/icecream-1</t>
  </si>
  <si>
    <t xml:space="preserve">No (empty)</t>
  </si>
  <si>
    <t xml:space="preserve">Shop the ICECREAM Collection | Social Status</t>
  </si>
  <si>
    <t xml:space="preserve">Shop the bold and colorful ICECREAM collection at Social Status. Elevate your streetwear with exclusive designs that stand out. Grab your favorites today.</t>
  </si>
  <si>
    <t xml:space="preserve">SALE</t>
  </si>
  <si>
    <t xml:space="preserve">https://www.socialstatuspgh.com/collections/sales</t>
  </si>
  <si>
    <t xml:space="preserve">Shop the Sale Collection | Limited Time Offers| Social Status</t>
  </si>
  <si>
    <t xml:space="preserve">Explore the curated Sale collection at Social Status—featuring select styles of footwear, apparel, and accessories from leading brands. Refine your rotation with standout pieces.</t>
  </si>
  <si>
    <t xml:space="preserve">MEDICOM</t>
  </si>
  <si>
    <t xml:space="preserve">https://www.socialstatuspgh.com/collections/medicom-1</t>
  </si>
  <si>
    <t xml:space="preserve">Shop Medicom Collectibles and Figures | Social Status</t>
  </si>
  <si>
    <t xml:space="preserve">Shop exclusive Medicom collectibles at Social Status. Elevate your collection with limited-edition art toys that reflect your style. Grab yours today.</t>
  </si>
  <si>
    <t xml:space="preserve">HONOR THE GIFT</t>
  </si>
  <si>
    <t xml:space="preserve">https://www.socialstatuspgh.com/collections/honor-the-gift</t>
  </si>
  <si>
    <t xml:space="preserve">Honor The Gift Collection – Premium Streetwear Vibes – Social Status</t>
  </si>
  <si>
    <t xml:space="preserve">Shop the latest from Honor The Gift at Social Status. Explore statement-making streetwear rooted in cultural storytelling, founded by Russell Westbrook.</t>
  </si>
  <si>
    <t xml:space="preserve">RHUDE</t>
  </si>
  <si>
    <t xml:space="preserve">https://www.socialstatuspgh.com/collections/rhude-1</t>
  </si>
  <si>
    <t xml:space="preserve">Rhude Apparel | Exclusive Styles That Elevate | Social Status</t>
  </si>
  <si>
    <t xml:space="preserve">Explore the Rhude collection at Social Status—luxury streetwear infused with West Coast attitude and vintage-inspired design. Shop bold graphics, premium cuts, and elevated staples.</t>
  </si>
  <si>
    <t xml:space="preserve">THISISNEVERTHAT</t>
  </si>
  <si>
    <t xml:space="preserve">https://www.socialstatuspgh.com/collections/thisisneverthat</t>
  </si>
  <si>
    <t xml:space="preserve">THISISNEVERTHAT – Social Status</t>
  </si>
  <si>
    <t xml:space="preserve">Discover thisisneverthat at Social Status—jackets, sweatpants, shirts, and footwear that fuse streetwear sensibility with quality design.</t>
  </si>
  <si>
    <t xml:space="preserve">NEW ERA</t>
  </si>
  <si>
    <t xml:space="preserve">https://www.socialstatuspgh.com/collections/new-era</t>
  </si>
  <si>
    <t xml:space="preserve">New Era Collection | Trendy Caps for Every Style &amp; Season – Social Status</t>
  </si>
  <si>
    <t xml:space="preserve">Top off your look with New Era caps from Social Status. Shop iconic fitteds, snapbacks, and limited-edition drops blending sports heritage with street style.</t>
  </si>
  <si>
    <t xml:space="preserve">COMME DES GARÇONS | WALLET</t>
  </si>
  <si>
    <t xml:space="preserve">https://www.socialstatuspgh.com/collections/comme-des-garcons-wallet</t>
  </si>
  <si>
    <t xml:space="preserve">COMME DES GARÇONS | WALLET – Social Status</t>
  </si>
  <si>
    <t xml:space="preserve">Shop the Comme des Garçons Wallet collection for sleek, high-quality wallets that blend style and function. Find the perfect design to match your look today.</t>
  </si>
  <si>
    <t xml:space="preserve">HOODIES &amp; SWEATSHIRTS</t>
  </si>
  <si>
    <t xml:space="preserve">https://www.socialstatuspgh.com/collections/hoodies-and-sweatshirts</t>
  </si>
  <si>
    <t xml:space="preserve">Shop the Hoodies and Sweatshirts Collection at Social Status</t>
  </si>
  <si>
    <t xml:space="preserve">Stay cozy and fashionable with our range of hoodies and sweatshirts, perfect for any casual occasion. Browse our selection and find your new favorite.</t>
  </si>
  <si>
    <t xml:space="preserve">Short Sleeve T-Shirts</t>
  </si>
  <si>
    <t xml:space="preserve">https://www.socialstatuspgh.com/collections/short-sleeve-t-shirts</t>
  </si>
  <si>
    <t xml:space="preserve">Short Sleeve T-Shirts – Social Status</t>
  </si>
  <si>
    <t xml:space="preserve">Long Sleeve T-Shirts</t>
  </si>
  <si>
    <t xml:space="preserve">https://www.socialstatuspgh.com/collections/long-sleeve-t-shirts</t>
  </si>
  <si>
    <t xml:space="preserve">Long Sleeve T-Shirts – Social Status</t>
  </si>
  <si>
    <t xml:space="preserve">Tops</t>
  </si>
  <si>
    <t xml:space="preserve">https://www.socialstatuspgh.com/collections/tops</t>
  </si>
  <si>
    <t xml:space="preserve">Tops – Social Status</t>
  </si>
  <si>
    <t xml:space="preserve">11/13/2020 Social Status</t>
  </si>
  <si>
    <t xml:space="preserve">DENIM</t>
  </si>
  <si>
    <t xml:space="preserve">https://www.socialstatuspgh.com/collections/denim</t>
  </si>
  <si>
    <t xml:space="preserve">Shop the Latest Denim Collection Online | Social Status</t>
  </si>
  <si>
    <t xml:space="preserve">Refresh your style with our denim collection, featuring a range of jeans and jackets for any occasion. Shop now and upgrade your wardrobe instantly.</t>
  </si>
  <si>
    <t xml:space="preserve">DENIM JACKETS</t>
  </si>
  <si>
    <t xml:space="preserve">https://www.socialstatuspgh.com/collections/denim-jackets</t>
  </si>
  <si>
    <t xml:space="preserve">Shop the Latest Denim Jacket Collection Online | Social Status</t>
  </si>
  <si>
    <t xml:space="preserve">Stay stylish with our premium denim jackets, perfect for layering year-round. Shop the latest styles and upgrade your wardrobe with a fresh look today.</t>
  </si>
  <si>
    <t xml:space="preserve">DOWN JACKETS</t>
  </si>
  <si>
    <t xml:space="preserve">https://www.socialstatuspgh.com/collections/down-jackets</t>
  </si>
  <si>
    <t xml:space="preserve">Shop the Latest Down Jackets Collection Online | Social Status</t>
  </si>
  <si>
    <t xml:space="preserve">Shop premium down jackets at Social Status for ultimate warmth and style. Stay cozy with top brands and sleek designs. Upgrade your winter wardrobe today.</t>
  </si>
  <si>
    <t xml:space="preserve">FACE MASKS</t>
  </si>
  <si>
    <t xml:space="preserve">https://www.socialstatuspgh.com/collections/face-masks</t>
  </si>
  <si>
    <t xml:space="preserve">Face Masks | Protective Styles with Cultural Edge | Social Status</t>
  </si>
  <si>
    <t xml:space="preserve">Enhance your style while staying protected with our premium face masks, designed for comfort and a bold statement. Browse now and find the perfect fit for you.</t>
  </si>
  <si>
    <t xml:space="preserve">HATS</t>
  </si>
  <si>
    <t xml:space="preserve">https://www.socialstatuspgh.com/collections/hats</t>
  </si>
  <si>
    <t xml:space="preserve">Stylish Hats &amp; Caps for Every Occasion | Social Status</t>
  </si>
  <si>
    <t xml:space="preserve">Complete your outfit with our hat collection, featuring trendy caps, cozy beanies and more for any style. Shop now and add the perfect finishing touch.</t>
  </si>
  <si>
    <t xml:space="preserve">HOME GOODS</t>
  </si>
  <si>
    <t xml:space="preserve">https://www.socialstatuspgh.com/collections/home-goods</t>
  </si>
  <si>
    <t xml:space="preserve">Upgrade Your Interior Style with Our Home Goods Collection – Social Status</t>
  </si>
  <si>
    <t xml:space="preserve">Elevate your space with curated home goods from Social Status. Shop unique decor, lifestyle accessories, and statement pieces designed to inspire modern living.</t>
  </si>
  <si>
    <t xml:space="preserve">JEWELRY</t>
  </si>
  <si>
    <t xml:space="preserve">https://www.socialstatuspgh.com/collections/jewelry</t>
  </si>
  <si>
    <t xml:space="preserve">Shop Statement-Making Men's &amp; Unisex Jewelry | Social Status</t>
  </si>
  <si>
    <t xml:space="preserve">Elevate your look with Social Status' curated jewelry collection. Find distinctive pieces that add a stylish edge to any outfit. Shop timeless accessories now.</t>
  </si>
  <si>
    <t xml:space="preserve">KNITS &amp; SWEATERS</t>
  </si>
  <si>
    <t xml:space="preserve">https://www.socialstatuspgh.com/collections/knits-1</t>
  </si>
  <si>
    <t xml:space="preserve">Men's &amp; Unisex Knits Collection | Social Status</t>
  </si>
  <si>
    <t xml:space="preserve">Layer up in style with knitwear from Social Status. Explore sweaters, cardigans, and textured pieces designed for comfort, versatility, and elevated everyday wear.</t>
  </si>
  <si>
    <t xml:space="preserve">PANTS</t>
  </si>
  <si>
    <t xml:space="preserve">https://www.socialstatuspgh.com/collections/pants</t>
  </si>
  <si>
    <t xml:space="preserve">Men’s &amp; Unisex Pants | Tailored for Comfort and Style | Social Status</t>
  </si>
  <si>
    <t xml:space="preserve">Find the perfect pair of pants from our curated selection, combining comfort &amp; style for any occasion. Browse our collection and upgrade your wardrobe today.</t>
  </si>
  <si>
    <t xml:space="preserve">PARKAS</t>
  </si>
  <si>
    <t xml:space="preserve">https://www.socialstatuspgh.com/collections/parkas-1</t>
  </si>
  <si>
    <t xml:space="preserve">Elevate Your Winter Look with Stylish Men's &amp; Unisex Parkas – Social Status</t>
  </si>
  <si>
    <t xml:space="preserve">Brave the elements in style with parkas from Social Status. Shop functional outerwear designed for warmth, utility, and elevated streetwear appeal.</t>
  </si>
  <si>
    <t xml:space="preserve">PERFUME</t>
  </si>
  <si>
    <t xml:space="preserve">https://www.socialstatuspgh.com/collections/perfume</t>
  </si>
  <si>
    <t xml:space="preserve">Perfume Collection | Elevate Your Signature Scent | Social Status</t>
  </si>
  <si>
    <t xml:space="preserve">Discover signature scents with the Perfume collection at Social Status. Shop fragrances that express individuality, elevate presence, and leave a lasting impression.</t>
  </si>
  <si>
    <t xml:space="preserve">POLOS</t>
  </si>
  <si>
    <t xml:space="preserve">https://www.socialstatuspgh.com/collections/polos</t>
  </si>
  <si>
    <t xml:space="preserve">Polo Collection | Classic Fashion and Comfort | Social Status</t>
  </si>
  <si>
    <t xml:space="preserve">Elevate your everyday with polos from Social Status. Shop refined classics and modern takes on a wardrobe staple—perfect for effortless style and versatility.</t>
  </si>
  <si>
    <t xml:space="preserve">SANDALS</t>
  </si>
  <si>
    <t xml:space="preserve">https://www.socialstatuspgh.com/collections/sandals</t>
  </si>
  <si>
    <t xml:space="preserve">Sandals Collection | Warm-Weather Footwear for Every Look – Social Status</t>
  </si>
  <si>
    <t xml:space="preserve">Step into comfort and style with the Sandals collection at Social Status. Shop modern silhouettes, versatile slides, and fashion-forward designs built for warm-weather wear.</t>
  </si>
  <si>
    <t xml:space="preserve">Scarves</t>
  </si>
  <si>
    <t xml:space="preserve">https://www.socialstatuspgh.com/collections/scarves</t>
  </si>
  <si>
    <t xml:space="preserve">Scarves – Social Status</t>
  </si>
  <si>
    <t xml:space="preserve">SHIRTS</t>
  </si>
  <si>
    <t xml:space="preserve">https://www.socialstatuspgh.com/collections/shirts-1</t>
  </si>
  <si>
    <t xml:space="preserve">Shirts Collection | Everyday Staples &amp; Elevated Styles| Social Status</t>
  </si>
  <si>
    <t xml:space="preserve">Refresh your wardrobe with the Shirts collection at Social Status. Explore elevated button-downs, bold prints, and everyday staples designed for modern style.</t>
  </si>
  <si>
    <t xml:space="preserve">SHORTS</t>
  </si>
  <si>
    <t xml:space="preserve">https://www.socialstatuspgh.com/collections/shorts-1</t>
  </si>
  <si>
    <t xml:space="preserve">Shorts Collection | Versatile Fits for Every Season| Social Status</t>
  </si>
  <si>
    <t xml:space="preserve">Shop premium shorts at Social Status, from casual everyday styles to performance-ready designs. Enjoy the perfect mix of comfort, quality, and modern fashion.</t>
  </si>
  <si>
    <t xml:space="preserve">SLIPPERS</t>
  </si>
  <si>
    <t xml:space="preserve">https://www.socialstatuspgh.com/collections/slippers</t>
  </si>
  <si>
    <t xml:space="preserve">Slippers Collection | Lounge-Ready Comfort and Style – Social Status</t>
  </si>
  <si>
    <t xml:space="preserve">Step into comfort with our curated collection of premium slippers. From cozy indoor styles to versatile outdoor designs, find the perfect pair for relaxing in style.</t>
  </si>
  <si>
    <t xml:space="preserve">SMALL GOODS</t>
  </si>
  <si>
    <t xml:space="preserve">https://www.socialstatuspgh.com/collections/small-goods</t>
  </si>
  <si>
    <t xml:space="preserve">Shop Unique Small Goods &amp; Accessories Online | Social Status</t>
  </si>
  <si>
    <t xml:space="preserve">Explore the Small Goods collection at Social Status—featuring curated accessories, everyday essentials, and unique items with statement-making impact.</t>
  </si>
  <si>
    <t xml:space="preserve">SNEAKERS</t>
  </si>
  <si>
    <t xml:space="preserve">https://www.socialstatuspgh.com/collections/sneakers-1</t>
  </si>
  <si>
    <t xml:space="preserve">SNEAKERS – Social Status</t>
  </si>
  <si>
    <t xml:space="preserve">Step into the latest sneaker drops at Social Status. Explore curated styles from top brands—blending performance, heritage, and street-forward design.</t>
  </si>
  <si>
    <t xml:space="preserve">SOCKS</t>
  </si>
  <si>
    <t xml:space="preserve">https://www.socialstatuspgh.com/collections/socks</t>
  </si>
  <si>
    <t xml:space="preserve">Exclusive Designer Socks Collection | Social Status</t>
  </si>
  <si>
    <t xml:space="preserve">Complete your look with the Socks collection at Social Status. Shop bold prints, classic staples, and performance styles designed for comfort and expression.</t>
  </si>
  <si>
    <t xml:space="preserve">SWEATPANTS</t>
  </si>
  <si>
    <t xml:space="preserve">https://www.socialstatuspgh.com/collections/sweatpants</t>
  </si>
  <si>
    <t xml:space="preserve">Sweatpants Collection | Elevated Loungewear and Utility Styles – Social Status</t>
  </si>
  <si>
    <t xml:space="preserve">Find your perfect fit with the Sweatpants collection at Social Status. Shop elevated essentials, from classic joggers to modern cuts designed for comfort and style.</t>
  </si>
  <si>
    <t xml:space="preserve">Sweatshirts</t>
  </si>
  <si>
    <t xml:space="preserve">https://www.socialstatuspgh.com/collections/sweatshirts</t>
  </si>
  <si>
    <t xml:space="preserve">Sweatshirts – Social Status</t>
  </si>
  <si>
    <t xml:space="preserve">SWIM</t>
  </si>
  <si>
    <t xml:space="preserve">https://www.socialstatuspgh.com/collections/swim</t>
  </si>
  <si>
    <t xml:space="preserve">Swimwear Collection | Bold Designs for Poolside and Beyond – Social Status</t>
  </si>
  <si>
    <t xml:space="preserve">Dive into swimwear made for style, confidence, and comfort. Discover bold designs and flattering fits crafted for every moment in and out of the water.</t>
  </si>
  <si>
    <t xml:space="preserve">T-SHIRTS</t>
  </si>
  <si>
    <t xml:space="preserve">https://www.socialstatuspgh.com/collections/t-shirts-2</t>
  </si>
  <si>
    <t xml:space="preserve">Graphic &amp; Streetwear T-Shirts Online | Social Status</t>
  </si>
  <si>
    <t xml:space="preserve">Shop T-shirts at Social Status featuring bold designs, premium quality, and culture edge - all in one essential piece. Explore the collection.</t>
  </si>
  <si>
    <t xml:space="preserve">VESTS</t>
  </si>
  <si>
    <t xml:space="preserve">https://www.socialstatuspgh.com/collections/vests</t>
  </si>
  <si>
    <t xml:space="preserve">Shop Transitional Men's &amp; Unisex Vests | Social Status</t>
  </si>
  <si>
    <t xml:space="preserve">Shop stylish vests for any occasion, from lightweight to cozy insulated designs. Find the perfect fit to complement your look with our versatile collection!</t>
  </si>
  <si>
    <t xml:space="preserve">WALLETS</t>
  </si>
  <si>
    <t xml:space="preserve">https://www.socialstatuspgh.com/collections/wallets</t>
  </si>
  <si>
    <t xml:space="preserve">Wallets Collection | Everyday Essentials | Social Status</t>
  </si>
  <si>
    <t xml:space="preserve">Stay organized in style with wallets designed for function &amp; fashion. From sleek leather to modern designs, find the perfect fit for your everyday essentials.</t>
  </si>
  <si>
    <t xml:space="preserve">Women</t>
  </si>
  <si>
    <t xml:space="preserve">https://www.socialstatuspgh.com/collections/womens-1</t>
  </si>
  <si>
    <t xml:space="preserve">Shop the Women's Collection | Shop Top Brands | Social Status</t>
  </si>
  <si>
    <t xml:space="preserve">Discover the latest in women’s fashion at Social Status. From sneakers to outerwear, shop styles that blend everyday ease with elevated design.</t>
  </si>
  <si>
    <t xml:space="preserve">TOPS</t>
  </si>
  <si>
    <t xml:space="preserve">https://www.socialstatuspgh.com/collections/tops-1</t>
  </si>
  <si>
    <t xml:space="preserve">Discover Our Curated Tops Collection | Social Status</t>
  </si>
  <si>
    <t xml:space="preserve">Find your perfect top at Social Status. From relaxed essentials to standout styles, shop comfort-driven pieces for every day and occasion.</t>
  </si>
  <si>
    <t xml:space="preserve">OUTERWEAR</t>
  </si>
  <si>
    <t xml:space="preserve">https://www.socialstatuspgh.com/collections/outerwear-3</t>
  </si>
  <si>
    <t xml:space="preserve">Outerwear Jackets | Shop Seasonal Essentials | Social Status</t>
  </si>
  <si>
    <t xml:space="preserve">Find premium outerwear with stylish jackets and coats, designed for both warmth and fashion. Shop now and elevate your wardrobe with our top picks today.</t>
  </si>
  <si>
    <t xml:space="preserve">FOOTWEAR</t>
  </si>
  <si>
    <t xml:space="preserve">https://www.socialstatuspgh.com/collections/footwear</t>
  </si>
  <si>
    <t xml:space="preserve">Footwear Collection | Shop Sneakers, Boots, Slides &amp; More | Social Status</t>
  </si>
  <si>
    <t xml:space="preserve">Elevate your footwear collection with our stylish range, from trendy sneakers to classic boots. Choose the perfect pair that fits your style and shop now.</t>
  </si>
  <si>
    <t xml:space="preserve">Landing Release</t>
  </si>
  <si>
    <t xml:space="preserve">https://www.socialstatuspgh.com/collections/landing-release</t>
  </si>
  <si>
    <t xml:space="preserve">Landing Release – Social Status</t>
  </si>
  <si>
    <t xml:space="preserve">WOMENS FOOTWEAR</t>
  </si>
  <si>
    <t xml:space="preserve">https://www.socialstatuspgh.com/collections/womens-footwear</t>
  </si>
  <si>
    <t xml:space="preserve">Shop Trendy Women’s Footwear Online | Social Status</t>
  </si>
  <si>
    <t xml:space="preserve">Step into style with women’s footwear from Social Status. Shop sneakers, slides, and standout silhouettes built for comfort and impact.</t>
  </si>
  <si>
    <t xml:space="preserve">WOMENS TOPS</t>
  </si>
  <si>
    <t xml:space="preserve">https://www.socialstatuspgh.com/collections/womens-tops</t>
  </si>
  <si>
    <t xml:space="preserve">Discover the Latest Women’s Streetwear Tops | Social Status</t>
  </si>
  <si>
    <t xml:space="preserve">Explore stylish women’s tops at Social Status—from easy essentials to standout statement pieces. Find your perfect fit for any occasion.</t>
  </si>
  <si>
    <t xml:space="preserve">WOMENS OUTERWEAR</t>
  </si>
  <si>
    <t xml:space="preserve">https://www.socialstatuspgh.com/collections/womens-outerwear</t>
  </si>
  <si>
    <t xml:space="preserve">Shop Trendy &amp; Cozy Women’s Outerwear Online | Social Status</t>
  </si>
  <si>
    <t xml:space="preserve">Layer up with women’s outerwear at Social Status. Shop statement coats, functional jackets, and transitional pieces for every season.</t>
  </si>
  <si>
    <t xml:space="preserve">WOMENS BOTTOMS</t>
  </si>
  <si>
    <t xml:space="preserve">https://www.socialstatuspgh.com/collections/womens-bottoms</t>
  </si>
  <si>
    <t xml:space="preserve">Upgrade Your Wardrobe with Women’s Bottoms | Social Status</t>
  </si>
  <si>
    <t xml:space="preserve">Find your fit with women’s bottoms at Social Status. From relaxed silhouettes to structured staples, explore pants, skirts, and more.</t>
  </si>
  <si>
    <t xml:space="preserve">WOMENS ACCESSORIES</t>
  </si>
  <si>
    <t xml:space="preserve">https://www.socialstatuspgh.com/collections/womens-accessories</t>
  </si>
  <si>
    <t xml:space="preserve">Shop Women's Accessories Collection | Social Status</t>
  </si>
  <si>
    <t xml:space="preserve">Shop stylish women's accessories to complement any look. From statement-making jewelry to the latest handbags, find the perfect finishing touch for your outfit today!</t>
  </si>
  <si>
    <t xml:space="preserve">Jordan Womens</t>
  </si>
  <si>
    <t xml:space="preserve">https://www.socialstatuspgh.com/collections/womens-jordan</t>
  </si>
  <si>
    <t xml:space="preserve">Jordan Womens – Social Status</t>
  </si>
  <si>
    <t xml:space="preserve">NOCTA</t>
  </si>
  <si>
    <t xml:space="preserve">https://www.socialstatuspgh.com/collections/nike-nocta</t>
  </si>
  <si>
    <t xml:space="preserve">NOCTA – Social Status</t>
  </si>
  <si>
    <t xml:space="preserve">FEAR OF GOD ESSENTIALS</t>
  </si>
  <si>
    <t xml:space="preserve">https://www.socialstatuspgh.com/collections/fear-of-god-essentials</t>
  </si>
  <si>
    <t xml:space="preserve">FEAR OF GOD ESSENTIALS – Social Status</t>
  </si>
  <si>
    <t xml:space="preserve">Embrace contemporary streetwear with Fear of God Essentials, offering minimalist designs and premium quality. Add these staples to your collection now.</t>
  </si>
  <si>
    <t xml:space="preserve">Ivy Park</t>
  </si>
  <si>
    <t xml:space="preserve">https://www.socialstatuspgh.com/collections/ivy-park</t>
  </si>
  <si>
    <t xml:space="preserve">Ivy Park – Social Status</t>
  </si>
  <si>
    <t xml:space="preserve">STÜSSY</t>
  </si>
  <si>
    <t xml:space="preserve">https://www.socialstatuspgh.com/collections/stussy</t>
  </si>
  <si>
    <t xml:space="preserve">Shop Stüssy Apparel &amp; Accessories | Social Status Online</t>
  </si>
  <si>
    <t xml:space="preserve">Shop the latest Stüssy collection at Social Status featuring graphic tees, hoodies, outerwear, and the iconic Varsity Star Skullcap.</t>
  </si>
  <si>
    <t xml:space="preserve">PATTA</t>
  </si>
  <si>
    <t xml:space="preserve">https://www.socialstatuspgh.com/collections/patta</t>
  </si>
  <si>
    <t xml:space="preserve">Patta Collection | Streetwear for Every Season | Social Status</t>
  </si>
  <si>
    <t xml:space="preserve">Shop the Patta collection at Social Status—streetwear rooted in culture, community, and bold design. Explore apparel and accessories that make a statement.</t>
  </si>
  <si>
    <t xml:space="preserve">J. REID</t>
  </si>
  <si>
    <t xml:space="preserve">https://www.socialstatuspgh.com/collections/j-reid</t>
  </si>
  <si>
    <t xml:space="preserve">J. REID – Social Status</t>
  </si>
  <si>
    <t xml:space="preserve">Shop the J. Reid sunglasses collection at Social Status. Explore bold, fashion-forward eyewear designed to elevate your look with distinctive style and modern edge.</t>
  </si>
  <si>
    <t xml:space="preserve">Nike X Off-White</t>
  </si>
  <si>
    <t xml:space="preserve">https://www.socialstatuspgh.com/collections/nike-x-off-white</t>
  </si>
  <si>
    <t xml:space="preserve">Nike X Off-White – Social Status</t>
  </si>
  <si>
    <t xml:space="preserve">KIDS OF IMMIGRANTS</t>
  </si>
  <si>
    <t xml:space="preserve">https://www.socialstatuspgh.com/collections/kids-of-immigrants</t>
  </si>
  <si>
    <t xml:space="preserve">Social Status | Kids of Immigrants Streetwear Collection</t>
  </si>
  <si>
    <t xml:space="preserve">Shop the Kids of Immigrants collection at Social Status at the best prices. Built on culture, inclusivity, and visual storytelling through fashion. Grab now!</t>
  </si>
  <si>
    <t xml:space="preserve">SAUCONY</t>
  </si>
  <si>
    <t xml:space="preserve">https://www.socialstatuspgh.com/collections/saucony</t>
  </si>
  <si>
    <t xml:space="preserve">Saucony Sneakers | Classic &amp; Contemporary Styles | Social Status</t>
  </si>
  <si>
    <t xml:space="preserve">Explore the Saucony collection at Social Status—heritage running silhouettes reimagined for lifestyle wear. Shop performance-driven designs with bold colorways.</t>
  </si>
  <si>
    <t xml:space="preserve">CROCS</t>
  </si>
  <si>
    <t xml:space="preserve">https://www.socialstatuspgh.com/collections/crocs</t>
  </si>
  <si>
    <t xml:space="preserve">Crocs Collection | Classic Comfort Meets Modern Collabs | Social Status</t>
  </si>
  <si>
    <t xml:space="preserve">Explore Crocs at Social Status, featuring classic designs &amp; exclusive collaborations. Comfortable, versatile and made to stand out. Shop your pair now.</t>
  </si>
  <si>
    <t xml:space="preserve">SAINTWOODS</t>
  </si>
  <si>
    <t xml:space="preserve">https://www.socialstatuspgh.com/collections/saintwoods</t>
  </si>
  <si>
    <t xml:space="preserve">Shop the Saintwoods Collection | Social Status</t>
  </si>
  <si>
    <t xml:space="preserve">Shop the Saintwoods collection at Social Status—laid-back streetwear rooted in culture, nightlife, and creative expression. Discover elevated essentials with a Montreal edge.</t>
  </si>
  <si>
    <t xml:space="preserve">ONE OF THESE DAYS</t>
  </si>
  <si>
    <t xml:space="preserve">https://www.socialstatuspgh.com/collections/one-of-these-days</t>
  </si>
  <si>
    <t xml:space="preserve">One of These Days Streetwear Collection | Social Status</t>
  </si>
  <si>
    <t xml:space="preserve">Shop the One of These Days collection at Social Status—where art, Americana, and storytelling converge. Explore graphic-led apparel with a bold, nostalgic edge.</t>
  </si>
  <si>
    <t xml:space="preserve">PARRA</t>
  </si>
  <si>
    <t xml:space="preserve">https://www.socialstatuspgh.com/collections/parra</t>
  </si>
  <si>
    <t xml:space="preserve">Shop the Parra Collection Online | Social Status</t>
  </si>
  <si>
    <t xml:space="preserve">Explore the Parra collection at Social Status—vivid graphics, abstract art, and bold color palettes meet streetwear staples designed by Dutch artist Piet Parra.</t>
  </si>
  <si>
    <t xml:space="preserve">TOM WOOD</t>
  </si>
  <si>
    <t xml:space="preserve">https://www.socialstatuspgh.com/collections/tom-wood</t>
  </si>
  <si>
    <t xml:space="preserve">TOM WOOD – Social Status</t>
  </si>
  <si>
    <t xml:space="preserve">SKY HIGH FARM WORKWEAR</t>
  </si>
  <si>
    <t xml:space="preserve">https://www.socialstatuspgh.com/collections/sky-high-farm-workwear</t>
  </si>
  <si>
    <t xml:space="preserve">SKY HIGH FARM WORKWEAR – Social Status</t>
  </si>
  <si>
    <t xml:space="preserve">Shop Sky High Farm Workwear at Social Status where fashion meets philanthropy. Explore streetwear essentials designed with purpose, creativity, and social impact in mind.</t>
  </si>
  <si>
    <t xml:space="preserve">Pay-it-Forward</t>
  </si>
  <si>
    <t xml:space="preserve">https://www.socialstatuspgh.com/collections/pay-it-forward</t>
  </si>
  <si>
    <t xml:space="preserve">Pay-it-Forward – Social Status</t>
  </si>
  <si>
    <t xml:space="preserve">SOCIAL STATUS</t>
  </si>
  <si>
    <t xml:space="preserve">https://www.socialstatuspgh.com/collections/social-status-1</t>
  </si>
  <si>
    <t xml:space="preserve">Social Status Collection | Original Streetwear &amp; Accessories</t>
  </si>
  <si>
    <t xml:space="preserve">Shop the Social Status collection featuring exclusive apparel and accessories that reflect the brand’s cultural vision and storytelling. Shop now.</t>
  </si>
  <si>
    <t xml:space="preserve">MAISON MIHARA YASUHIRO</t>
  </si>
  <si>
    <t xml:space="preserve">https://www.socialstatuspgh.com/collections/maison-mihara-yasuhiro</t>
  </si>
  <si>
    <t xml:space="preserve">Maison Mihara Yasuhiro Footwear &amp; Clothing | Social Status</t>
  </si>
  <si>
    <t xml:space="preserve">Shop Maison Mihara Yasuhiro at Social Status. Explore avant-garde footwear that blends deconstruction with elevated Japanese streetwear design.</t>
  </si>
  <si>
    <t xml:space="preserve">SALOMON</t>
  </si>
  <si>
    <t xml:space="preserve">https://www.socialstatuspgh.com/collections/salomon</t>
  </si>
  <si>
    <t xml:space="preserve">Salomon Footwear | Trail-Ready &amp; Street-Tested Styles – Social Status</t>
  </si>
  <si>
    <t xml:space="preserve">Discover Salomon at Social Status—where performance innovation meets street-ready design. Shop trail-inspired footwear built for versatility, function, and everyday style.</t>
  </si>
  <si>
    <t xml:space="preserve">LEVI'S</t>
  </si>
  <si>
    <t xml:space="preserve">https://www.socialstatuspgh.com/collections/levis</t>
  </si>
  <si>
    <t xml:space="preserve">Shop Levi’s Collection | Premium Denim &amp; Apparel Online – Social Status</t>
  </si>
  <si>
    <t xml:space="preserve">Shop the Levi's collection at Social Status for iconic denim and timeless apparel. Upgrade your everyday style with classic essentials. Shop the latest collection now.</t>
  </si>
  <si>
    <t xml:space="preserve">EYEWEAR</t>
  </si>
  <si>
    <t xml:space="preserve">https://www.socialstatuspgh.com/collections/eyewear</t>
  </si>
  <si>
    <t xml:space="preserve">Eyewear Collection | Top Designer and Lifestyle Eyewear – Social Status</t>
  </si>
  <si>
    <t xml:space="preserve">Find the perfect eyewear to match your style, from classic aviators to bold frames. Enjoy a blend of fashion, comfort, &amp; sun protection for any occasion.</t>
  </si>
  <si>
    <t xml:space="preserve">FALL STYLE GUIDE</t>
  </si>
  <si>
    <t xml:space="preserve">https://www.socialstatuspgh.com/collections/fall-lookbook</t>
  </si>
  <si>
    <t xml:space="preserve">FALL STYLE GUIDE – Social Status</t>
  </si>
  <si>
    <t xml:space="preserve">REPRESENT</t>
  </si>
  <si>
    <t xml:space="preserve">https://www.socialstatuspgh.com/collections/represent</t>
  </si>
  <si>
    <t xml:space="preserve">Represent Apparel | Premium Styles and Designs | Social Status</t>
  </si>
  <si>
    <t xml:space="preserve">Shop the Represent collection at Social Status—premium UK streetwear blending luxury construction with everyday edge. Explore elevated essentials and bold silhouettes.</t>
  </si>
  <si>
    <t xml:space="preserve">MIGHTY JAXX</t>
  </si>
  <si>
    <t xml:space="preserve">https://www.socialstatuspgh.com/collections/mighty-jaxx</t>
  </si>
  <si>
    <t xml:space="preserve">Shop Mighty Jaxx Art Toys &amp; Collectibles | Social Status</t>
  </si>
  <si>
    <t xml:space="preserve">Immerse yourself in the artistry of Mighty Jaxx at Social Status. Find exclusive collectibles that redefine contemporary design. Discover standout collectibles now.</t>
  </si>
  <si>
    <t xml:space="preserve">NOAH</t>
  </si>
  <si>
    <t xml:space="preserve">https://www.socialstatuspgh.com/collections/noah</t>
  </si>
  <si>
    <t xml:space="preserve">Discover Noah Apparel | New Styles Available | Social Status</t>
  </si>
  <si>
    <t xml:space="preserve">Discover the Noah collection at Social Status—where streetwear meets timeless prep. Shop elevated essentials crafted with purpose, style, and cultural integrity.</t>
  </si>
  <si>
    <t xml:space="preserve">HEBRU BRAND</t>
  </si>
  <si>
    <t xml:space="preserve">https://www.socialstatuspgh.com/collections/hebru-brand</t>
  </si>
  <si>
    <t xml:space="preserve">Limited Hebru Brand Art Toys – Now Online at Social Status</t>
  </si>
  <si>
    <t xml:space="preserve">Shop the Hebru Brand collectible figure collection at Social Status. Discover limited-edition art toys and cultural collectibles by acclaimed artist Hebru Brantley.</t>
  </si>
  <si>
    <t xml:space="preserve">SUPERVSN</t>
  </si>
  <si>
    <t xml:space="preserve">https://www.socialstatuspgh.com/collections/supervsn</t>
  </si>
  <si>
    <t xml:space="preserve">Supervsn Collection | Purpose-Driven Streetwear Essentials – Social Status</t>
  </si>
  <si>
    <t xml:space="preserve">Discover the Supervsn collection at Social Status where bold graphics meet purpose-driven design. Shop apparel that celebrates creativity, culture, and self-expression.</t>
  </si>
  <si>
    <t xml:space="preserve">SPRING STYLE GUIDE</t>
  </si>
  <si>
    <t xml:space="preserve">https://www.socialstatuspgh.com/collections/spring-style-guide</t>
  </si>
  <si>
    <t xml:space="preserve">SPRING STYLE GUIDE – Social Status</t>
  </si>
  <si>
    <t xml:space="preserve">STYLE GUIDE</t>
  </si>
  <si>
    <t xml:space="preserve">https://www.socialstatuspgh.com/collections/style-guide</t>
  </si>
  <si>
    <t xml:space="preserve">STYLE GUIDE – Social Status</t>
  </si>
  <si>
    <t xml:space="preserve">HELLSTAR</t>
  </si>
  <si>
    <t xml:space="preserve">https://www.socialstatuspgh.com/collections/hellstar</t>
  </si>
  <si>
    <t xml:space="preserve">HELLSTAR – Social Status</t>
  </si>
  <si>
    <t xml:space="preserve">Final Sale</t>
  </si>
  <si>
    <t xml:space="preserve">https://www.socialstatuspgh.com/collections/final-sale</t>
  </si>
  <si>
    <t xml:space="preserve">Final Sale – Social Status</t>
  </si>
  <si>
    <t xml:space="preserve">GODSPEED  NEW YORK</t>
  </si>
  <si>
    <t xml:space="preserve">https://www.socialstatuspgh.com/collections/godspeed-1</t>
  </si>
  <si>
    <t xml:space="preserve">Godspeed Collection – Streetwear Exclusively at Social Status</t>
  </si>
  <si>
    <t xml:space="preserve">Get the latest collection of Godspeed Clothing for Men and women at Social Status. Choose the perfect pair that fits your style and comfort. Shop now.</t>
  </si>
  <si>
    <t xml:space="preserve">OAKLEY</t>
  </si>
  <si>
    <t xml:space="preserve">https://www.socialstatuspgh.com/collections/oakley</t>
  </si>
  <si>
    <t xml:space="preserve">Oakley Collection | Iconic Sunglasses &amp; Streetwear Gear – Social Status</t>
  </si>
  <si>
    <t xml:space="preserve">Oakley collection at Social Status offers innovative eyewear and gear for athletes, creators, and trendsetters. Explore high-function design and bold style.</t>
  </si>
  <si>
    <t xml:space="preserve">HAUTE HERITAGE PUBLISHING</t>
  </si>
  <si>
    <t xml:space="preserve">https://www.socialstatuspgh.com/collections/haute-heritage-publishing</t>
  </si>
  <si>
    <t xml:space="preserve">HAUTE HERITAGE PUBLISHING – Social Status</t>
  </si>
  <si>
    <t xml:space="preserve">HOME STUDYO</t>
  </si>
  <si>
    <t xml:space="preserve">https://www.socialstatuspgh.com/collections/home-studyos</t>
  </si>
  <si>
    <t xml:space="preserve">Home Studyo Collection – Artful Home Objects at Social Status</t>
  </si>
  <si>
    <t xml:space="preserve">Shop Home STUDYOS collection at Social Status. Buy artistic planters and mirrors for interiors, bringing artful design to your everyday space. Buy now!</t>
  </si>
  <si>
    <t xml:space="preserve">WINTER STYLE GUIDE</t>
  </si>
  <si>
    <t xml:space="preserve">https://www.socialstatuspgh.com/collections/winter-style-guide</t>
  </si>
  <si>
    <t xml:space="preserve">WINTER STYLE GUIDE – Social Status</t>
  </si>
  <si>
    <t xml:space="preserve">ON RUNNING</t>
  </si>
  <si>
    <t xml:space="preserve">https://www.socialstatuspgh.com/collections/on-running</t>
  </si>
  <si>
    <t xml:space="preserve">ON Running Collection | Lightweight, High-Performance Shoes – Social Status</t>
  </si>
  <si>
    <t xml:space="preserve">Explore the On Running collection at Social Status — lightweight sneakers and apparel engineered for motion, built for everyday wear, and styled for the street.</t>
  </si>
  <si>
    <t xml:space="preserve">SZADE</t>
  </si>
  <si>
    <t xml:space="preserve">https://www.socialstatuspgh.com/collections/szade</t>
  </si>
  <si>
    <t xml:space="preserve">SZADE – Social Status</t>
  </si>
  <si>
    <t xml:space="preserve">Shop Black Brands</t>
  </si>
  <si>
    <t xml:space="preserve">https://www.socialstatuspgh.com/collections/juney</t>
  </si>
  <si>
    <t xml:space="preserve">Shop Black Brands – Social Status</t>
  </si>
  <si>
    <t xml:space="preserve">LOUNGEWEAR</t>
  </si>
  <si>
    <t xml:space="preserve">https://www.socialstatuspgh.com/collections/lounge-wear</t>
  </si>
  <si>
    <t xml:space="preserve">LOUNGEWEAR – Social Status</t>
  </si>
  <si>
    <t xml:space="preserve">WOMENS SWIM</t>
  </si>
  <si>
    <t xml:space="preserve">https://www.socialstatuspgh.com/collections/womens-swim</t>
  </si>
  <si>
    <t xml:space="preserve">WOMENS SWIM – Social Status</t>
  </si>
  <si>
    <t xml:space="preserve">The Whitaker Group for New Balance "Willful Bias" for Education</t>
  </si>
  <si>
    <t xml:space="preserve">https://www.socialstatuspgh.com/collections/the-whitaker-group-for-new-balance-willful-bias-for-education</t>
  </si>
  <si>
    <t xml:space="preserve">The Whitaker Group for New Balance "Willful Bias" for Education – Social Status</t>
  </si>
  <si>
    <t xml:space="preserve">EXCLUDED FTW FOR SALE</t>
  </si>
  <si>
    <t xml:space="preserve">https://www.socialstatuspgh.com/collections/excluded-ftw-for-sale</t>
  </si>
  <si>
    <t xml:space="preserve">EXCLUDED FTW FOR SALE – Social Status</t>
  </si>
  <si>
    <t xml:space="preserve">JORDAN ONLY NO COLLAB</t>
  </si>
  <si>
    <t xml:space="preserve">https://www.socialstatuspgh.com/collections/jordan-only-no-collab</t>
  </si>
  <si>
    <t xml:space="preserve">JORDAN ONLY NO COLLAB – Social Status</t>
  </si>
  <si>
    <t xml:space="preserve">NEW BALANCE ONLY NO COLLAB</t>
  </si>
  <si>
    <t xml:space="preserve">https://www.socialstatuspgh.com/collections/new-balance-only-no-collab</t>
  </si>
  <si>
    <t xml:space="preserve">NEW BALANCE ONLY NO COLLAB – Social Status</t>
  </si>
  <si>
    <t xml:space="preserve">NIKE ONLY NO COLLAB</t>
  </si>
  <si>
    <t xml:space="preserve">https://www.socialstatuspgh.com/collections/nike-only-no-collab</t>
  </si>
  <si>
    <t xml:space="preserve">NIKE ONLY NO COLLAB – Social Status</t>
  </si>
  <si>
    <t xml:space="preserve">SHAI 001</t>
  </si>
  <si>
    <t xml:space="preserve">https://www.socialstatuspgh.com/collections/shai-001</t>
  </si>
  <si>
    <t xml:space="preserve">SHAI 001 – Social Status</t>
  </si>
  <si>
    <t xml:space="preserve">VOWELS</t>
  </si>
  <si>
    <t xml:space="preserve">https://www.socialstatuspgh.com/collections/vowels</t>
  </si>
  <si>
    <t xml:space="preserve">VOWELS – Social Status</t>
  </si>
  <si>
    <t xml:space="preserve">CLARKS</t>
  </si>
  <si>
    <t xml:space="preserve">https://www.socialstatuspgh.com/collections/clarks</t>
  </si>
  <si>
    <t xml:space="preserve">CLARKS – Social Status</t>
  </si>
  <si>
    <t xml:space="preserve">DIET STARTS MONDAY</t>
  </si>
  <si>
    <t xml:space="preserve">https://www.socialstatuspgh.com/collections/diet-starts-monday</t>
  </si>
  <si>
    <t xml:space="preserve">DIET STARTS MONDAY – Social Status</t>
  </si>
  <si>
    <t xml:space="preserve">JERSEYS</t>
  </si>
  <si>
    <t xml:space="preserve">https://www.socialstatuspgh.com/collections/jerseys</t>
  </si>
  <si>
    <t xml:space="preserve">JERSEYS – Social Status</t>
  </si>
  <si>
    <t xml:space="preserve">JACKETS</t>
  </si>
  <si>
    <t xml:space="preserve">https://www.socialstatuspgh.com/collections/jackets</t>
  </si>
  <si>
    <t xml:space="preserve">JACKETS – Social Status</t>
  </si>
  <si>
    <t xml:space="preserve">LIFESTYLE</t>
  </si>
  <si>
    <t xml:space="preserve">https://www.socialstatuspgh.com/collections/lifestyle</t>
  </si>
  <si>
    <t xml:space="preserve">LIFESTYLE – Social Status</t>
  </si>
  <si>
    <t xml:space="preserve">NFL SUPER BOWEL EDIT</t>
  </si>
  <si>
    <t xml:space="preserve">https://www.socialstatuspgh.com/collections/nfl-super-bowel-edit</t>
  </si>
  <si>
    <t xml:space="preserve">NFL SUPER BOWEL EDIT – Social Status</t>
  </si>
  <si>
    <t xml:space="preserve">Matching Sets</t>
  </si>
  <si>
    <t xml:space="preserve">https://www.socialstatuspgh.com/collections/matching-sets</t>
  </si>
  <si>
    <t xml:space="preserve">Matching Sets – Social Status</t>
  </si>
  <si>
    <t xml:space="preserve">https://www.socialstatuspgh.com/collections/do-not-duplicate</t>
  </si>
  <si>
    <t xml:space="preserve">BIRTH OF ROYAL CHILD</t>
  </si>
  <si>
    <t xml:space="preserve">https://www.socialstatuspgh.com/collections/birth-of-royal-child</t>
  </si>
  <si>
    <t xml:space="preserve">BIRTH OF ROYAL CHILD – Social Status</t>
  </si>
  <si>
    <t xml:space="preserve">Casablanca</t>
  </si>
  <si>
    <t xml:space="preserve">https://www.socialstatuspgh.com/collections/casablanca</t>
  </si>
  <si>
    <t xml:space="preserve">Casablanca – Social Status</t>
  </si>
  <si>
    <t xml:space="preserve">Carhartt W.I.P</t>
  </si>
  <si>
    <t xml:space="preserve">https://www.socialstatuspgh.com/collections/carhartt-w-i-p</t>
  </si>
  <si>
    <t xml:space="preserve">Carhartt W.I.P – Social Status</t>
  </si>
  <si>
    <t xml:space="preserve">Cargo Pants</t>
  </si>
  <si>
    <t xml:space="preserve">https://www.socialstatuspgh.com/collections/cargo-pants</t>
  </si>
  <si>
    <t xml:space="preserve">Cargo Pants – Social Status</t>
  </si>
  <si>
    <t xml:space="preserve">All</t>
  </si>
  <si>
    <t xml:space="preserve">https://www.socialstatuspgh.com/collections/all</t>
  </si>
  <si>
    <t xml:space="preserve">All – Social Status</t>
  </si>
  <si>
    <t xml:space="preserve">Brain Dead</t>
  </si>
  <si>
    <t xml:space="preserve">https://www.socialstatuspgh.com/collections/brain-dead</t>
  </si>
  <si>
    <t xml:space="preserve">Brain Dead – Social Status</t>
  </si>
  <si>
    <t xml:space="preserve">Bottoms</t>
  </si>
  <si>
    <t xml:space="preserve">https://www.socialstatuspgh.com/collections/bottoms</t>
  </si>
  <si>
    <t xml:space="preserve">Bottoms – Social Status</t>
  </si>
  <si>
    <t xml:space="preserve">Born x Raised</t>
  </si>
  <si>
    <t xml:space="preserve">https://www.socialstatuspgh.com/collections/born-x-raised</t>
  </si>
  <si>
    <t xml:space="preserve">Born x Raised – Social Status</t>
  </si>
  <si>
    <t xml:space="preserve">Boots</t>
  </si>
  <si>
    <t xml:space="preserve">https://www.socialstatuspgh.com/collections/boots</t>
  </si>
  <si>
    <t xml:space="preserve">Boots – Social Status</t>
  </si>
  <si>
    <t xml:space="preserve">LES TIEN</t>
  </si>
  <si>
    <t xml:space="preserve">https://www.socialstatuspgh.com/collections/les-tien</t>
  </si>
  <si>
    <t xml:space="preserve">LES TIEN – Social Status</t>
  </si>
  <si>
    <t xml:space="preserve">Winter Street Essentials</t>
  </si>
  <si>
    <t xml:space="preserve">https://www.socialstatuspgh.com/collections/winter-street-essentials</t>
  </si>
  <si>
    <t xml:space="preserve">Winter Street Essentials – Social Status</t>
  </si>
  <si>
    <t xml:space="preserve">OHANA HATAKE</t>
  </si>
  <si>
    <t xml:space="preserve">https://www.socialstatuspgh.com/collections/ohana-hatake</t>
  </si>
  <si>
    <t xml:space="preserve">OHANA HATAKE – Social Status</t>
  </si>
  <si>
    <t xml:space="preserve">KIDS</t>
  </si>
  <si>
    <t xml:space="preserve">https://www.socialstatuspgh.com/collections/kids</t>
  </si>
  <si>
    <t xml:space="preserve">KIDS – Social Status</t>
  </si>
  <si>
    <t xml:space="preserve">GIFT CARD</t>
  </si>
  <si>
    <t xml:space="preserve">https://www.socialstatuspgh.com/collections/gift-card</t>
  </si>
  <si>
    <t xml:space="preserve">GIFT CARD – Social Status</t>
  </si>
  <si>
    <t xml:space="preserve">RAY-BAN</t>
  </si>
  <si>
    <t xml:space="preserve">https://www.socialstatuspgh.com/collections/ray-ban</t>
  </si>
  <si>
    <t xml:space="preserve">RAY-BAN – Social Status</t>
  </si>
  <si>
    <t xml:space="preserve">Books</t>
  </si>
  <si>
    <t xml:space="preserve">https://www.socialstatuspgh.com/collections/books</t>
  </si>
  <si>
    <t xml:space="preserve">Books – Social Status</t>
  </si>
  <si>
    <t xml:space="preserve">Bomber Jackets</t>
  </si>
  <si>
    <t xml:space="preserve">https://www.socialstatuspgh.com/collections/bomber-jackets</t>
  </si>
  <si>
    <t xml:space="preserve">Bomber Jackets – Social Status</t>
  </si>
  <si>
    <t xml:space="preserve">Birth Of Royal Child</t>
  </si>
  <si>
    <t xml:space="preserve">https://www.socialstatuspgh.com/collections/birth-of-royal-child-1</t>
  </si>
  <si>
    <t xml:space="preserve">Birth Of Royal Child – Social Status</t>
  </si>
  <si>
    <t xml:space="preserve">Birkenstock</t>
  </si>
  <si>
    <t xml:space="preserve">https://www.socialstatuspgh.com/collections/birkenstock</t>
  </si>
  <si>
    <t xml:space="preserve">Birkenstock – Social Status</t>
  </si>
  <si>
    <t xml:space="preserve">Belts</t>
  </si>
  <si>
    <t xml:space="preserve">https://www.socialstatuspgh.com/collections/belts</t>
  </si>
  <si>
    <t xml:space="preserve">Belts – Social Status</t>
  </si>
  <si>
    <t xml:space="preserve">Beanies</t>
  </si>
  <si>
    <t xml:space="preserve">https://www.socialstatuspgh.com/collections/beanies</t>
  </si>
  <si>
    <t xml:space="preserve">Beanies – Social Status</t>
  </si>
  <si>
    <t xml:space="preserve">Beach Brains</t>
  </si>
  <si>
    <t xml:space="preserve">https://www.socialstatuspgh.com/collections/beach-brains</t>
  </si>
  <si>
    <t xml:space="preserve">Beach Brains – Social Status</t>
  </si>
  <si>
    <t xml:space="preserve">Barriers</t>
  </si>
  <si>
    <t xml:space="preserve">https://www.socialstatuspgh.com/collections/barriers</t>
  </si>
  <si>
    <t xml:space="preserve">Barriers – Social Status</t>
  </si>
  <si>
    <t xml:space="preserve">Bags</t>
  </si>
  <si>
    <t xml:space="preserve">https://www.socialstatuspgh.com/collections/bags</t>
  </si>
  <si>
    <t xml:space="preserve">Bags – Social Status</t>
  </si>
  <si>
    <t xml:space="preserve">AWAKE NY</t>
  </si>
  <si>
    <t xml:space="preserve">https://www.socialstatuspgh.com/collections/awake-ny</t>
  </si>
  <si>
    <t xml:space="preserve">AWAKE NY – Social Status</t>
  </si>
  <si>
    <t xml:space="preserve">Assouline</t>
  </si>
  <si>
    <t xml:space="preserve">https://www.socialstatuspgh.com/collections/assouline</t>
  </si>
  <si>
    <t xml:space="preserve">Assouline – Social Status</t>
  </si>
  <si>
    <t xml:space="preserve">Asics</t>
  </si>
  <si>
    <t xml:space="preserve">https://www.socialstatuspgh.com/collections/asics</t>
  </si>
  <si>
    <t xml:space="preserve">Asics – Social Status</t>
  </si>
  <si>
    <t xml:space="preserve">Anta</t>
  </si>
  <si>
    <t xml:space="preserve">https://www.socialstatuspgh.com/collections/anta</t>
  </si>
  <si>
    <t xml:space="preserve">Anta – Social Status</t>
  </si>
  <si>
    <t xml:space="preserve">Alpha Industries</t>
  </si>
  <si>
    <t xml:space="preserve">https://www.socialstatuspgh.com/collections/alpha-industries</t>
  </si>
  <si>
    <t xml:space="preserve">Alpha Industries – Social Status</t>
  </si>
  <si>
    <t xml:space="preserve">Air Max</t>
  </si>
  <si>
    <t xml:space="preserve">https://www.socialstatuspgh.com/collections/air-max</t>
  </si>
  <si>
    <t xml:space="preserve">Air Max – Social Status</t>
  </si>
  <si>
    <t xml:space="preserve">Adidas</t>
  </si>
  <si>
    <t xml:space="preserve">https://www.socialstatuspgh.com/collections/adidas</t>
  </si>
  <si>
    <t xml:space="preserve">Adidas – Social Status</t>
  </si>
  <si>
    <t xml:space="preserve">Accessories</t>
  </si>
  <si>
    <t xml:space="preserve">https://www.socialstatuspgh.com/collections/accessories</t>
  </si>
  <si>
    <t xml:space="preserve">Accessories – Social Status</t>
  </si>
  <si>
    <t xml:space="preserve">A Bathing Ape</t>
  </si>
  <si>
    <t xml:space="preserve">https://www.socialstatuspgh.com/collections/a-bathing-ape</t>
  </si>
  <si>
    <t xml:space="preserve">A Bathing Ape – Social Status</t>
  </si>
  <si>
    <t xml:space="preserve">38a</t>
  </si>
  <si>
    <t xml:space="preserve">https://www.socialstatuspgh.com/collections/38a-1</t>
  </si>
  <si>
    <t xml:space="preserve">38a – Social Status</t>
  </si>
  <si>
    <t xml:space="preserve">PACE</t>
  </si>
  <si>
    <t xml:space="preserve">https://www.socialstatuspgh.com/collections/pace</t>
  </si>
  <si>
    <t xml:space="preserve">PACE – Social Status</t>
  </si>
  <si>
    <t xml:space="preserve">https://www.socialstatuspgh.com/collections/les-tien-1</t>
  </si>
  <si>
    <t xml:space="preserve">Brand</t>
  </si>
  <si>
    <t xml:space="preserve">Collection URL</t>
  </si>
  <si>
    <t xml:space="preserve">Intro paragraph (80–120 words)</t>
  </si>
  <si>
    <t xml:space="preserve">Approved by</t>
  </si>
  <si>
    <t xml:space="preserve">https://www.socialstatuspgh.com/collections/example-brand</t>
  </si>
  <si>
    <t xml:space="preserve">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Made-up example text about the brand. </t>
  </si>
  <si>
    <t xml:space="preserve">The 15 brands are agreed with Shafi from the SEO-18 list. Paste the brand and its URL from that tab.</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</si>
</sst>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color rgb="FF59595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F8CBAD"/>
          <bgColor rgb="FF000000"/>
        </patternFill>
      </fill>
    </dxf>
    <dxf>
      <fill>
        <patternFill>
          <bgColor rgb="FFC6E0B4"/>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30"/>
    <col collapsed="false" customWidth="true" hidden="false" outlineLevel="0" max="4" min="4" style="0" width="28"/>
    <col collapsed="false" customWidth="true" hidden="false" outlineLevel="0" max="5" min="5" style="0" width="16"/>
    <col collapsed="false" customWidth="true" hidden="false" outlineLevel="0" max="6" min="6" style="0" width="8"/>
    <col collapsed="false" customWidth="true" hidden="false" outlineLevel="0" max="7" min="7" style="0" width="9"/>
    <col collapsed="false" customWidth="true" hidden="false" outlineLevel="0" max="8" min="8" style="0" width="16"/>
    <col collapsed="false" customWidth="true" hidden="false" outlineLevel="0" max="15" min="9" style="0" width="11"/>
    <col collapsed="false" customWidth="true" hidden="false" outlineLevel="0" max="16" min="16" style="0" width="34"/>
    <col collapsed="false" customWidth="true" hidden="false" outlineLevel="0" max="17" min="17" style="0" width="20"/>
    <col collapsed="false" customWidth="true" hidden="false" outlineLevel="0" max="18" min="18" style="0" width="16"/>
    <col collapsed="false" customWidth="true" hidden="false" outlineLevel="0" max="19" min="19" style="0" width="14"/>
  </cols>
  <sheetData>
    <row r="1" customFormat="false" ht="31.5" hidden="false" customHeight="true" outlineLevel="0" collapsed="false">
      <c r="A1" s="4" t="s">
        <v>20</v>
      </c>
      <c r="B1" s="4" t="s">
        <v>21</v>
      </c>
      <c r="C1" s="4" t="s">
        <v>22</v>
      </c>
      <c r="D1" s="4" t="s">
        <v>23</v>
      </c>
      <c r="E1" s="4" t="s">
        <v>24</v>
      </c>
      <c r="F1" s="4" t="s">
        <v>25</v>
      </c>
      <c r="G1" s="4" t="s">
        <v>26</v>
      </c>
      <c r="H1" s="4" t="s">
        <v>27</v>
      </c>
      <c r="I1" s="4" t="s">
        <v>28</v>
      </c>
      <c r="J1" s="4" t="s">
        <v>29</v>
      </c>
      <c r="K1" s="4" t="s">
        <v>30</v>
      </c>
      <c r="L1" s="4" t="s">
        <v>31</v>
      </c>
      <c r="M1" s="4" t="s">
        <v>32</v>
      </c>
      <c r="N1" s="4" t="s">
        <v>33</v>
      </c>
      <c r="O1" s="4" t="s">
        <v>34</v>
      </c>
      <c r="P1" s="4" t="s">
        <v>35</v>
      </c>
      <c r="Q1" s="4" t="s">
        <v>36</v>
      </c>
      <c r="R1" s="4" t="s">
        <v>37</v>
      </c>
      <c r="S1" s="4" t="s">
        <v>38</v>
      </c>
    </row>
    <row r="2" customFormat="false" ht="26.85" hidden="false" customHeight="false" outlineLevel="0" collapsed="false">
      <c r="A2" s="5" t="s">
        <v>39</v>
      </c>
      <c r="B2" s="5" t="s">
        <v>40</v>
      </c>
      <c r="C2" s="6" t="s">
        <v>41</v>
      </c>
      <c r="D2" s="6" t="s">
        <v>42</v>
      </c>
      <c r="E2" s="6" t="s">
        <v>43</v>
      </c>
      <c r="F2" s="6" t="s">
        <v>44</v>
      </c>
      <c r="G2" s="6" t="s">
        <v>45</v>
      </c>
      <c r="H2" s="6" t="s">
        <v>46</v>
      </c>
      <c r="I2" s="6" t="s">
        <v>47</v>
      </c>
      <c r="J2" s="6" t="s">
        <v>47</v>
      </c>
      <c r="K2" s="6" t="s">
        <v>47</v>
      </c>
      <c r="L2" s="6" t="s">
        <v>47</v>
      </c>
      <c r="M2" s="6" t="s">
        <v>48</v>
      </c>
      <c r="N2" s="6" t="s">
        <v>48</v>
      </c>
      <c r="O2" s="6" t="s">
        <v>49</v>
      </c>
      <c r="P2" s="6" t="s">
        <v>50</v>
      </c>
      <c r="Q2" s="6" t="s">
        <v>51</v>
      </c>
      <c r="R2" s="6" t="s">
        <v>52</v>
      </c>
      <c r="S2" s="5" t="s">
        <v>53</v>
      </c>
    </row>
    <row r="3" customFormat="false" ht="26.85" hidden="false" customHeight="false" outlineLevel="0" collapsed="false">
      <c r="A3" s="5" t="s">
        <v>54</v>
      </c>
      <c r="B3" s="5" t="s">
        <v>55</v>
      </c>
      <c r="C3" s="6"/>
      <c r="D3" s="6"/>
      <c r="E3" s="6"/>
      <c r="F3" s="6"/>
      <c r="G3" s="6"/>
      <c r="H3" s="6"/>
      <c r="I3" s="6"/>
      <c r="J3" s="6"/>
      <c r="K3" s="6"/>
      <c r="L3" s="6"/>
      <c r="M3" s="6"/>
      <c r="N3" s="6"/>
      <c r="O3" s="6"/>
      <c r="P3" s="6"/>
      <c r="Q3" s="6"/>
      <c r="R3" s="6"/>
      <c r="S3" s="5" t="s">
        <v>56</v>
      </c>
    </row>
    <row r="4" customFormat="false" ht="26.85" hidden="false" customHeight="false" outlineLevel="0" collapsed="false">
      <c r="A4" s="5" t="s">
        <v>57</v>
      </c>
      <c r="B4" s="5" t="s">
        <v>58</v>
      </c>
      <c r="C4" s="6"/>
      <c r="D4" s="6"/>
      <c r="E4" s="6"/>
      <c r="F4" s="6"/>
      <c r="G4" s="6"/>
      <c r="H4" s="6"/>
      <c r="I4" s="6"/>
      <c r="J4" s="6"/>
      <c r="K4" s="6"/>
      <c r="L4" s="6"/>
      <c r="M4" s="6"/>
      <c r="N4" s="6"/>
      <c r="O4" s="6"/>
      <c r="P4" s="6"/>
      <c r="Q4" s="6"/>
      <c r="R4" s="6"/>
      <c r="S4" s="5" t="s">
        <v>56</v>
      </c>
    </row>
    <row r="5" customFormat="false" ht="26.85" hidden="false" customHeight="false" outlineLevel="0" collapsed="false">
      <c r="A5" s="5" t="s">
        <v>59</v>
      </c>
      <c r="B5" s="5" t="s">
        <v>60</v>
      </c>
      <c r="C5" s="6"/>
      <c r="D5" s="6"/>
      <c r="E5" s="6"/>
      <c r="F5" s="6"/>
      <c r="G5" s="6"/>
      <c r="H5" s="6"/>
      <c r="I5" s="6"/>
      <c r="J5" s="6"/>
      <c r="K5" s="6"/>
      <c r="L5" s="6"/>
      <c r="M5" s="6"/>
      <c r="N5" s="6"/>
      <c r="O5" s="6"/>
      <c r="P5" s="6"/>
      <c r="Q5" s="6"/>
      <c r="R5" s="6"/>
      <c r="S5" s="5" t="s">
        <v>56</v>
      </c>
    </row>
    <row r="6" customFormat="false" ht="26.85" hidden="false" customHeight="false" outlineLevel="0" collapsed="false">
      <c r="A6" s="5" t="s">
        <v>61</v>
      </c>
      <c r="B6" s="5" t="s">
        <v>62</v>
      </c>
      <c r="C6" s="6"/>
      <c r="D6" s="6"/>
      <c r="E6" s="6"/>
      <c r="F6" s="6"/>
      <c r="G6" s="6"/>
      <c r="H6" s="6"/>
      <c r="I6" s="6"/>
      <c r="J6" s="6"/>
      <c r="K6" s="6"/>
      <c r="L6" s="6"/>
      <c r="M6" s="6"/>
      <c r="N6" s="6"/>
      <c r="O6" s="6"/>
      <c r="P6" s="6"/>
      <c r="Q6" s="6"/>
      <c r="R6" s="6"/>
      <c r="S6" s="5" t="s">
        <v>56</v>
      </c>
    </row>
    <row r="7" customFormat="false" ht="26.85" hidden="false" customHeight="false" outlineLevel="0" collapsed="false">
      <c r="A7" s="5" t="s">
        <v>63</v>
      </c>
      <c r="B7" s="5" t="s">
        <v>64</v>
      </c>
      <c r="C7" s="6"/>
      <c r="D7" s="6"/>
      <c r="E7" s="6"/>
      <c r="F7" s="6"/>
      <c r="G7" s="6"/>
      <c r="H7" s="6"/>
      <c r="I7" s="6"/>
      <c r="J7" s="6"/>
      <c r="K7" s="6"/>
      <c r="L7" s="6"/>
      <c r="M7" s="6"/>
      <c r="N7" s="6"/>
      <c r="O7" s="6"/>
      <c r="P7" s="6"/>
      <c r="Q7" s="6"/>
      <c r="R7" s="6"/>
      <c r="S7" s="5" t="s">
        <v>56</v>
      </c>
    </row>
    <row r="8" customFormat="false" ht="26.85" hidden="false" customHeight="false" outlineLevel="0" collapsed="false">
      <c r="A8" s="5" t="s">
        <v>65</v>
      </c>
      <c r="B8" s="5" t="s">
        <v>66</v>
      </c>
      <c r="C8" s="6"/>
      <c r="D8" s="6"/>
      <c r="E8" s="6"/>
      <c r="F8" s="6"/>
      <c r="G8" s="6"/>
      <c r="H8" s="6"/>
      <c r="I8" s="6"/>
      <c r="J8" s="6"/>
      <c r="K8" s="6"/>
      <c r="L8" s="6"/>
      <c r="M8" s="6"/>
      <c r="N8" s="6"/>
      <c r="O8" s="6"/>
      <c r="P8" s="6"/>
      <c r="Q8" s="6"/>
      <c r="R8" s="6"/>
      <c r="S8" s="5" t="s">
        <v>56</v>
      </c>
    </row>
    <row r="9" customFormat="false" ht="26.85" hidden="false" customHeight="false" outlineLevel="0" collapsed="false">
      <c r="A9" s="5" t="s">
        <v>67</v>
      </c>
      <c r="B9" s="5" t="s">
        <v>68</v>
      </c>
      <c r="C9" s="6"/>
      <c r="D9" s="6"/>
      <c r="E9" s="6"/>
      <c r="F9" s="6"/>
      <c r="G9" s="6"/>
      <c r="H9" s="6"/>
      <c r="I9" s="6"/>
      <c r="J9" s="6"/>
      <c r="K9" s="6"/>
      <c r="L9" s="6"/>
      <c r="M9" s="6"/>
      <c r="N9" s="6"/>
      <c r="O9" s="6"/>
      <c r="P9" s="6"/>
      <c r="Q9" s="6"/>
      <c r="R9" s="6"/>
      <c r="S9" s="5" t="s">
        <v>56</v>
      </c>
    </row>
    <row r="10" customFormat="false" ht="26.85" hidden="false" customHeight="false" outlineLevel="0" collapsed="false">
      <c r="A10" s="5" t="s">
        <v>69</v>
      </c>
      <c r="B10" s="5" t="s">
        <v>70</v>
      </c>
      <c r="C10" s="6"/>
      <c r="D10" s="6"/>
      <c r="E10" s="6"/>
      <c r="F10" s="6"/>
      <c r="G10" s="6"/>
      <c r="H10" s="6"/>
      <c r="I10" s="6"/>
      <c r="J10" s="6"/>
      <c r="K10" s="6"/>
      <c r="L10" s="6"/>
      <c r="M10" s="6"/>
      <c r="N10" s="6"/>
      <c r="O10" s="6"/>
      <c r="P10" s="6"/>
      <c r="Q10" s="6"/>
      <c r="R10" s="6"/>
      <c r="S10" s="5" t="s">
        <v>56</v>
      </c>
    </row>
    <row r="11" customFormat="false" ht="26.85" hidden="false" customHeight="false" outlineLevel="0" collapsed="false">
      <c r="A11" s="5" t="s">
        <v>71</v>
      </c>
      <c r="B11" s="5" t="s">
        <v>72</v>
      </c>
      <c r="C11" s="6"/>
      <c r="D11" s="6"/>
      <c r="E11" s="6"/>
      <c r="F11" s="6"/>
      <c r="G11" s="6"/>
      <c r="H11" s="6"/>
      <c r="I11" s="6"/>
      <c r="J11" s="6"/>
      <c r="K11" s="6"/>
      <c r="L11" s="6"/>
      <c r="M11" s="6"/>
      <c r="N11" s="6"/>
      <c r="O11" s="6"/>
      <c r="P11" s="6"/>
      <c r="Q11" s="6"/>
      <c r="R11" s="6"/>
      <c r="S11" s="5" t="s">
        <v>56</v>
      </c>
    </row>
    <row r="12" customFormat="false" ht="26.85" hidden="false" customHeight="false" outlineLevel="0" collapsed="false">
      <c r="A12" s="5" t="s">
        <v>73</v>
      </c>
      <c r="B12" s="5" t="s">
        <v>74</v>
      </c>
      <c r="C12" s="6"/>
      <c r="D12" s="6"/>
      <c r="E12" s="6"/>
      <c r="F12" s="6"/>
      <c r="G12" s="6"/>
      <c r="H12" s="6"/>
      <c r="I12" s="6"/>
      <c r="J12" s="6"/>
      <c r="K12" s="6"/>
      <c r="L12" s="6"/>
      <c r="M12" s="6"/>
      <c r="N12" s="6"/>
      <c r="O12" s="6"/>
      <c r="P12" s="6"/>
      <c r="Q12" s="6"/>
      <c r="R12" s="6"/>
      <c r="S12" s="5" t="s">
        <v>56</v>
      </c>
    </row>
    <row r="13" customFormat="false" ht="26.85" hidden="false" customHeight="false" outlineLevel="0" collapsed="false">
      <c r="A13" s="5" t="s">
        <v>75</v>
      </c>
      <c r="B13" s="5" t="s">
        <v>76</v>
      </c>
      <c r="C13" s="6"/>
      <c r="D13" s="6"/>
      <c r="E13" s="6"/>
      <c r="F13" s="6"/>
      <c r="G13" s="6"/>
      <c r="H13" s="6"/>
      <c r="I13" s="6"/>
      <c r="J13" s="6"/>
      <c r="K13" s="6"/>
      <c r="L13" s="6"/>
      <c r="M13" s="6"/>
      <c r="N13" s="6"/>
      <c r="O13" s="6"/>
      <c r="P13" s="6"/>
      <c r="Q13" s="6"/>
      <c r="R13" s="6"/>
      <c r="S13" s="5" t="s">
        <v>56</v>
      </c>
    </row>
  </sheetData>
  <autoFilter ref="A1:S13"/>
  <dataValidations count="1">
    <dataValidation allowBlank="true" errorStyle="stop" operator="between" showDropDown="false" showErrorMessage="false" showInputMessage="false" sqref="S2:S13" type="list">
      <formula1>"Not started,Draft,Ready,Needs fix,Live"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0"/>
    <col collapsed="false" customWidth="true" hidden="false" outlineLevel="0" max="4" min="4" style="0" width="28"/>
    <col collapsed="false" customWidth="true" hidden="false" outlineLevel="0" max="5" min="5" style="0" width="26"/>
    <col collapsed="false" customWidth="true" hidden="false" outlineLevel="0" max="6" min="6" style="0" width="44"/>
    <col collapsed="false" customWidth="true" hidden="false" outlineLevel="0" max="7" min="7" style="0" width="8"/>
    <col collapsed="false" customWidth="true" hidden="false" outlineLevel="0" max="8" min="8" style="0" width="10"/>
    <col collapsed="false" customWidth="true" hidden="false" outlineLevel="0" max="9" min="9" style="0" width="60"/>
    <col collapsed="false" customWidth="true" hidden="false" outlineLevel="0" max="10" min="10" style="0" width="8"/>
    <col collapsed="false" customWidth="true" hidden="false" outlineLevel="0" max="11" min="11" style="0" width="10"/>
    <col collapsed="false" customWidth="true" hidden="false" outlineLevel="0" max="12" min="12" style="0" width="28"/>
    <col collapsed="false" customWidth="true" hidden="false" outlineLevel="0" max="13" min="13" style="0" width="70"/>
    <col collapsed="false" customWidth="true" hidden="false" outlineLevel="0" max="14" min="14" style="0" width="8"/>
    <col collapsed="false" customWidth="true" hidden="false" outlineLevel="0" max="15" min="15" style="0" width="10"/>
    <col collapsed="false" customWidth="true" hidden="false" outlineLevel="0" max="16" min="16" style="0" width="13"/>
  </cols>
  <sheetData>
    <row r="1" customFormat="false" ht="31.5" hidden="false" customHeight="true" outlineLevel="0" collapsed="false">
      <c r="A1" s="4" t="s">
        <v>20</v>
      </c>
      <c r="B1" s="4" t="s">
        <v>21</v>
      </c>
      <c r="C1" s="4" t="s">
        <v>77</v>
      </c>
      <c r="D1" s="4" t="s">
        <v>78</v>
      </c>
      <c r="E1" s="4" t="s">
        <v>79</v>
      </c>
      <c r="F1" s="4" t="s">
        <v>80</v>
      </c>
      <c r="G1" s="4" t="s">
        <v>81</v>
      </c>
      <c r="H1" s="4" t="s">
        <v>82</v>
      </c>
      <c r="I1" s="4" t="s">
        <v>83</v>
      </c>
      <c r="J1" s="4" t="s">
        <v>81</v>
      </c>
      <c r="K1" s="4" t="s">
        <v>82</v>
      </c>
      <c r="L1" s="4" t="s">
        <v>84</v>
      </c>
      <c r="M1" s="4" t="s">
        <v>85</v>
      </c>
      <c r="N1" s="4" t="s">
        <v>86</v>
      </c>
      <c r="O1" s="4" t="s">
        <v>82</v>
      </c>
      <c r="P1" s="4" t="s">
        <v>38</v>
      </c>
    </row>
    <row r="2" customFormat="false" ht="64.9" hidden="false" customHeight="false" outlineLevel="0" collapsed="false">
      <c r="A2" s="5" t="s">
        <v>39</v>
      </c>
      <c r="B2" s="5" t="s">
        <v>40</v>
      </c>
      <c r="C2" s="5" t="s">
        <v>41</v>
      </c>
      <c r="D2" s="5" t="s">
        <v>87</v>
      </c>
      <c r="E2" s="5" t="s">
        <v>88</v>
      </c>
      <c r="F2" s="6" t="s">
        <v>89</v>
      </c>
      <c r="G2" s="5" t="n">
        <f aca="false">IF(F2="","",LEN(F2))</f>
        <v>58</v>
      </c>
      <c r="H2" s="5" t="str">
        <f aca="false">IF(F2="","",IF(LEN(F2)&gt;60,"Too long",IF(LEN(F2)&lt;50,"Too short","OK")))</f>
        <v>OK</v>
      </c>
      <c r="I2" s="6" t="s">
        <v>90</v>
      </c>
      <c r="J2" s="5" t="n">
        <f aca="false">IF(I2="","",LEN(I2))</f>
        <v>150</v>
      </c>
      <c r="K2" s="5" t="str">
        <f aca="false">IF(I2="","",IF(LEN(I2)&gt;160,"Too long",IF(LEN(I2)&lt;140,"Too short","OK")))</f>
        <v>OK</v>
      </c>
      <c r="L2" s="6" t="s">
        <v>41</v>
      </c>
      <c r="M2" s="6" t="s">
        <v>91</v>
      </c>
      <c r="N2" s="5" t="n">
        <f aca="false">IF(TRIM(M2)="","",LEN(TRIM(M2))-LEN(SUBSTITUTE(TRIM(M2)," ",""))+1)</f>
        <v>42</v>
      </c>
      <c r="O2" s="5" t="str">
        <f aca="false">IF(TRIM(M2)="","",IF(LEN(TRIM(M2))-LEN(SUBSTITUTE(TRIM(M2)," ",""))+1&gt;100,"Too long",IF(LEN(TRIM(M2))-LEN(SUBSTITUTE(TRIM(M2)," ",""))+1&lt;60,"Too short","OK")))</f>
        <v>Too short</v>
      </c>
      <c r="P2" s="5" t="s">
        <v>92</v>
      </c>
    </row>
    <row r="3" customFormat="false" ht="26.85" hidden="false" customHeight="false" outlineLevel="0" collapsed="false">
      <c r="A3" s="5" t="s">
        <v>54</v>
      </c>
      <c r="B3" s="5" t="s">
        <v>55</v>
      </c>
      <c r="C3" s="5" t="s">
        <v>54</v>
      </c>
      <c r="D3" s="5" t="s">
        <v>93</v>
      </c>
      <c r="E3" s="5" t="s">
        <v>88</v>
      </c>
      <c r="F3" s="6"/>
      <c r="G3" s="5" t="str">
        <f aca="false">IF(F3="","",LEN(F3))</f>
        <v/>
      </c>
      <c r="H3" s="5" t="str">
        <f aca="false">IF(F3="","",IF(LEN(F3)&gt;60,"Too long",IF(LEN(F3)&lt;50,"Too short","OK")))</f>
        <v/>
      </c>
      <c r="I3" s="6"/>
      <c r="J3" s="5" t="str">
        <f aca="false">IF(I3="","",LEN(I3))</f>
        <v/>
      </c>
      <c r="K3" s="5" t="str">
        <f aca="false">IF(I3="","",IF(LEN(I3)&gt;160,"Too long",IF(LEN(I3)&lt;140,"Too short","OK")))</f>
        <v/>
      </c>
      <c r="L3" s="6"/>
      <c r="M3" s="6"/>
      <c r="N3" s="5" t="str">
        <f aca="false">IF(TRIM(M3)="","",LEN(TRIM(M3))-LEN(SUBSTITUTE(TRIM(M3)," ",""))+1)</f>
        <v/>
      </c>
      <c r="O3" s="5" t="str">
        <f aca="false">IF(TRIM(M3)="","",IF(LEN(TRIM(M3))-LEN(SUBSTITUTE(TRIM(M3)," ",""))+1&gt;100,"Too long",IF(LEN(TRIM(M3))-LEN(SUBSTITUTE(TRIM(M3)," ",""))+1&lt;60,"Too short","OK")))</f>
        <v/>
      </c>
      <c r="P3" s="5" t="s">
        <v>56</v>
      </c>
    </row>
    <row r="4" customFormat="false" ht="26.85" hidden="false" customHeight="false" outlineLevel="0" collapsed="false">
      <c r="A4" s="5" t="s">
        <v>57</v>
      </c>
      <c r="B4" s="5" t="s">
        <v>58</v>
      </c>
      <c r="C4" s="5" t="s">
        <v>57</v>
      </c>
      <c r="D4" s="5" t="s">
        <v>57</v>
      </c>
      <c r="E4" s="5" t="s">
        <v>88</v>
      </c>
      <c r="F4" s="6"/>
      <c r="G4" s="5" t="str">
        <f aca="false">IF(F4="","",LEN(F4))</f>
        <v/>
      </c>
      <c r="H4" s="5" t="str">
        <f aca="false">IF(F4="","",IF(LEN(F4)&gt;60,"Too long",IF(LEN(F4)&lt;50,"Too short","OK")))</f>
        <v/>
      </c>
      <c r="I4" s="6"/>
      <c r="J4" s="5" t="str">
        <f aca="false">IF(I4="","",LEN(I4))</f>
        <v/>
      </c>
      <c r="K4" s="5" t="str">
        <f aca="false">IF(I4="","",IF(LEN(I4)&gt;160,"Too long",IF(LEN(I4)&lt;140,"Too short","OK")))</f>
        <v/>
      </c>
      <c r="L4" s="6"/>
      <c r="M4" s="6"/>
      <c r="N4" s="5" t="str">
        <f aca="false">IF(TRIM(M4)="","",LEN(TRIM(M4))-LEN(SUBSTITUTE(TRIM(M4)," ",""))+1)</f>
        <v/>
      </c>
      <c r="O4" s="5" t="str">
        <f aca="false">IF(TRIM(M4)="","",IF(LEN(TRIM(M4))-LEN(SUBSTITUTE(TRIM(M4)," ",""))+1&gt;100,"Too long",IF(LEN(TRIM(M4))-LEN(SUBSTITUTE(TRIM(M4)," ",""))+1&lt;60,"Too short","OK")))</f>
        <v/>
      </c>
      <c r="P4" s="5" t="s">
        <v>56</v>
      </c>
    </row>
    <row r="5" customFormat="false" ht="26.85" hidden="false" customHeight="false" outlineLevel="0" collapsed="false">
      <c r="A5" s="5" t="s">
        <v>59</v>
      </c>
      <c r="B5" s="5" t="s">
        <v>60</v>
      </c>
      <c r="C5" s="5" t="s">
        <v>59</v>
      </c>
      <c r="D5" s="5" t="s">
        <v>94</v>
      </c>
      <c r="E5" s="5" t="s">
        <v>88</v>
      </c>
      <c r="F5" s="6"/>
      <c r="G5" s="5" t="str">
        <f aca="false">IF(F5="","",LEN(F5))</f>
        <v/>
      </c>
      <c r="H5" s="5" t="str">
        <f aca="false">IF(F5="","",IF(LEN(F5)&gt;60,"Too long",IF(LEN(F5)&lt;50,"Too short","OK")))</f>
        <v/>
      </c>
      <c r="I5" s="6"/>
      <c r="J5" s="5" t="str">
        <f aca="false">IF(I5="","",LEN(I5))</f>
        <v/>
      </c>
      <c r="K5" s="5" t="str">
        <f aca="false">IF(I5="","",IF(LEN(I5)&gt;160,"Too long",IF(LEN(I5)&lt;140,"Too short","OK")))</f>
        <v/>
      </c>
      <c r="L5" s="6"/>
      <c r="M5" s="6"/>
      <c r="N5" s="5" t="str">
        <f aca="false">IF(TRIM(M5)="","",LEN(TRIM(M5))-LEN(SUBSTITUTE(TRIM(M5)," ",""))+1)</f>
        <v/>
      </c>
      <c r="O5" s="5" t="str">
        <f aca="false">IF(TRIM(M5)="","",IF(LEN(TRIM(M5))-LEN(SUBSTITUTE(TRIM(M5)," ",""))+1&gt;100,"Too long",IF(LEN(TRIM(M5))-LEN(SUBSTITUTE(TRIM(M5)," ",""))+1&lt;60,"Too short","OK")))</f>
        <v/>
      </c>
      <c r="P5" s="5" t="s">
        <v>56</v>
      </c>
    </row>
    <row r="6" customFormat="false" ht="26.85" hidden="false" customHeight="false" outlineLevel="0" collapsed="false">
      <c r="A6" s="5" t="s">
        <v>61</v>
      </c>
      <c r="B6" s="5" t="s">
        <v>62</v>
      </c>
      <c r="C6" s="5" t="s">
        <v>61</v>
      </c>
      <c r="D6" s="5" t="s">
        <v>95</v>
      </c>
      <c r="E6" s="5" t="s">
        <v>88</v>
      </c>
      <c r="F6" s="6"/>
      <c r="G6" s="5" t="str">
        <f aca="false">IF(F6="","",LEN(F6))</f>
        <v/>
      </c>
      <c r="H6" s="5" t="str">
        <f aca="false">IF(F6="","",IF(LEN(F6)&gt;60,"Too long",IF(LEN(F6)&lt;50,"Too short","OK")))</f>
        <v/>
      </c>
      <c r="I6" s="6"/>
      <c r="J6" s="5" t="str">
        <f aca="false">IF(I6="","",LEN(I6))</f>
        <v/>
      </c>
      <c r="K6" s="5" t="str">
        <f aca="false">IF(I6="","",IF(LEN(I6)&gt;160,"Too long",IF(LEN(I6)&lt;140,"Too short","OK")))</f>
        <v/>
      </c>
      <c r="L6" s="6"/>
      <c r="M6" s="6"/>
      <c r="N6" s="5" t="str">
        <f aca="false">IF(TRIM(M6)="","",LEN(TRIM(M6))-LEN(SUBSTITUTE(TRIM(M6)," ",""))+1)</f>
        <v/>
      </c>
      <c r="O6" s="5" t="str">
        <f aca="false">IF(TRIM(M6)="","",IF(LEN(TRIM(M6))-LEN(SUBSTITUTE(TRIM(M6)," ",""))+1&gt;100,"Too long",IF(LEN(TRIM(M6))-LEN(SUBSTITUTE(TRIM(M6)," ",""))+1&lt;60,"Too short","OK")))</f>
        <v/>
      </c>
      <c r="P6" s="5" t="s">
        <v>56</v>
      </c>
    </row>
    <row r="7" customFormat="false" ht="26.85" hidden="false" customHeight="false" outlineLevel="0" collapsed="false">
      <c r="A7" s="5" t="s">
        <v>63</v>
      </c>
      <c r="B7" s="5" t="s">
        <v>64</v>
      </c>
      <c r="C7" s="5" t="s">
        <v>63</v>
      </c>
      <c r="D7" s="5" t="s">
        <v>63</v>
      </c>
      <c r="E7" s="5" t="s">
        <v>88</v>
      </c>
      <c r="F7" s="6"/>
      <c r="G7" s="5" t="str">
        <f aca="false">IF(F7="","",LEN(F7))</f>
        <v/>
      </c>
      <c r="H7" s="5" t="str">
        <f aca="false">IF(F7="","",IF(LEN(F7)&gt;60,"Too long",IF(LEN(F7)&lt;50,"Too short","OK")))</f>
        <v/>
      </c>
      <c r="I7" s="6"/>
      <c r="J7" s="5" t="str">
        <f aca="false">IF(I7="","",LEN(I7))</f>
        <v/>
      </c>
      <c r="K7" s="5" t="str">
        <f aca="false">IF(I7="","",IF(LEN(I7)&gt;160,"Too long",IF(LEN(I7)&lt;140,"Too short","OK")))</f>
        <v/>
      </c>
      <c r="L7" s="6"/>
      <c r="M7" s="6"/>
      <c r="N7" s="5" t="str">
        <f aca="false">IF(TRIM(M7)="","",LEN(TRIM(M7))-LEN(SUBSTITUTE(TRIM(M7)," ",""))+1)</f>
        <v/>
      </c>
      <c r="O7" s="5" t="str">
        <f aca="false">IF(TRIM(M7)="","",IF(LEN(TRIM(M7))-LEN(SUBSTITUTE(TRIM(M7)," ",""))+1&gt;100,"Too long",IF(LEN(TRIM(M7))-LEN(SUBSTITUTE(TRIM(M7)," ",""))+1&lt;60,"Too short","OK")))</f>
        <v/>
      </c>
      <c r="P7" s="5" t="s">
        <v>56</v>
      </c>
    </row>
    <row r="8" customFormat="false" ht="26.85" hidden="false" customHeight="false" outlineLevel="0" collapsed="false">
      <c r="A8" s="5" t="s">
        <v>65</v>
      </c>
      <c r="B8" s="5" t="s">
        <v>66</v>
      </c>
      <c r="C8" s="5" t="s">
        <v>65</v>
      </c>
      <c r="D8" s="5" t="s">
        <v>96</v>
      </c>
      <c r="E8" s="5" t="s">
        <v>88</v>
      </c>
      <c r="F8" s="6"/>
      <c r="G8" s="5" t="str">
        <f aca="false">IF(F8="","",LEN(F8))</f>
        <v/>
      </c>
      <c r="H8" s="5" t="str">
        <f aca="false">IF(F8="","",IF(LEN(F8)&gt;60,"Too long",IF(LEN(F8)&lt;50,"Too short","OK")))</f>
        <v/>
      </c>
      <c r="I8" s="6"/>
      <c r="J8" s="5" t="str">
        <f aca="false">IF(I8="","",LEN(I8))</f>
        <v/>
      </c>
      <c r="K8" s="5" t="str">
        <f aca="false">IF(I8="","",IF(LEN(I8)&gt;160,"Too long",IF(LEN(I8)&lt;140,"Too short","OK")))</f>
        <v/>
      </c>
      <c r="L8" s="6"/>
      <c r="M8" s="6"/>
      <c r="N8" s="5" t="str">
        <f aca="false">IF(TRIM(M8)="","",LEN(TRIM(M8))-LEN(SUBSTITUTE(TRIM(M8)," ",""))+1)</f>
        <v/>
      </c>
      <c r="O8" s="5" t="str">
        <f aca="false">IF(TRIM(M8)="","",IF(LEN(TRIM(M8))-LEN(SUBSTITUTE(TRIM(M8)," ",""))+1&gt;100,"Too long",IF(LEN(TRIM(M8))-LEN(SUBSTITUTE(TRIM(M8)," ",""))+1&lt;60,"Too short","OK")))</f>
        <v/>
      </c>
      <c r="P8" s="5" t="s">
        <v>56</v>
      </c>
    </row>
    <row r="9" customFormat="false" ht="26.85" hidden="false" customHeight="false" outlineLevel="0" collapsed="false">
      <c r="A9" s="5" t="s">
        <v>67</v>
      </c>
      <c r="B9" s="5" t="s">
        <v>68</v>
      </c>
      <c r="C9" s="5" t="s">
        <v>67</v>
      </c>
      <c r="D9" s="5" t="s">
        <v>97</v>
      </c>
      <c r="E9" s="5" t="s">
        <v>88</v>
      </c>
      <c r="F9" s="6"/>
      <c r="G9" s="5" t="str">
        <f aca="false">IF(F9="","",LEN(F9))</f>
        <v/>
      </c>
      <c r="H9" s="5" t="str">
        <f aca="false">IF(F9="","",IF(LEN(F9)&gt;60,"Too long",IF(LEN(F9)&lt;50,"Too short","OK")))</f>
        <v/>
      </c>
      <c r="I9" s="6"/>
      <c r="J9" s="5" t="str">
        <f aca="false">IF(I9="","",LEN(I9))</f>
        <v/>
      </c>
      <c r="K9" s="5" t="str">
        <f aca="false">IF(I9="","",IF(LEN(I9)&gt;160,"Too long",IF(LEN(I9)&lt;140,"Too short","OK")))</f>
        <v/>
      </c>
      <c r="L9" s="6"/>
      <c r="M9" s="6"/>
      <c r="N9" s="5" t="str">
        <f aca="false">IF(TRIM(M9)="","",LEN(TRIM(M9))-LEN(SUBSTITUTE(TRIM(M9)," ",""))+1)</f>
        <v/>
      </c>
      <c r="O9" s="5" t="str">
        <f aca="false">IF(TRIM(M9)="","",IF(LEN(TRIM(M9))-LEN(SUBSTITUTE(TRIM(M9)," ",""))+1&gt;100,"Too long",IF(LEN(TRIM(M9))-LEN(SUBSTITUTE(TRIM(M9)," ",""))+1&lt;60,"Too short","OK")))</f>
        <v/>
      </c>
      <c r="P9" s="5" t="s">
        <v>56</v>
      </c>
    </row>
    <row r="10" customFormat="false" ht="26.85" hidden="false" customHeight="false" outlineLevel="0" collapsed="false">
      <c r="A10" s="5" t="s">
        <v>69</v>
      </c>
      <c r="B10" s="5" t="s">
        <v>70</v>
      </c>
      <c r="C10" s="5" t="s">
        <v>69</v>
      </c>
      <c r="D10" s="5" t="s">
        <v>69</v>
      </c>
      <c r="E10" s="5" t="s">
        <v>88</v>
      </c>
      <c r="F10" s="6"/>
      <c r="G10" s="5" t="str">
        <f aca="false">IF(F10="","",LEN(F10))</f>
        <v/>
      </c>
      <c r="H10" s="5" t="str">
        <f aca="false">IF(F10="","",IF(LEN(F10)&gt;60,"Too long",IF(LEN(F10)&lt;50,"Too short","OK")))</f>
        <v/>
      </c>
      <c r="I10" s="6"/>
      <c r="J10" s="5" t="str">
        <f aca="false">IF(I10="","",LEN(I10))</f>
        <v/>
      </c>
      <c r="K10" s="5" t="str">
        <f aca="false">IF(I10="","",IF(LEN(I10)&gt;160,"Too long",IF(LEN(I10)&lt;140,"Too short","OK")))</f>
        <v/>
      </c>
      <c r="L10" s="6"/>
      <c r="M10" s="6"/>
      <c r="N10" s="5" t="str">
        <f aca="false">IF(TRIM(M10)="","",LEN(TRIM(M10))-LEN(SUBSTITUTE(TRIM(M10)," ",""))+1)</f>
        <v/>
      </c>
      <c r="O10" s="5" t="str">
        <f aca="false">IF(TRIM(M10)="","",IF(LEN(TRIM(M10))-LEN(SUBSTITUTE(TRIM(M10)," ",""))+1&gt;100,"Too long",IF(LEN(TRIM(M10))-LEN(SUBSTITUTE(TRIM(M10)," ",""))+1&lt;60,"Too short","OK")))</f>
        <v/>
      </c>
      <c r="P10" s="5" t="s">
        <v>56</v>
      </c>
    </row>
    <row r="11" customFormat="false" ht="26.85" hidden="false" customHeight="false" outlineLevel="0" collapsed="false">
      <c r="A11" s="5" t="s">
        <v>71</v>
      </c>
      <c r="B11" s="5" t="s">
        <v>72</v>
      </c>
      <c r="C11" s="5" t="s">
        <v>71</v>
      </c>
      <c r="D11" s="5" t="s">
        <v>98</v>
      </c>
      <c r="E11" s="5" t="s">
        <v>88</v>
      </c>
      <c r="F11" s="6"/>
      <c r="G11" s="5" t="str">
        <f aca="false">IF(F11="","",LEN(F11))</f>
        <v/>
      </c>
      <c r="H11" s="5" t="str">
        <f aca="false">IF(F11="","",IF(LEN(F11)&gt;60,"Too long",IF(LEN(F11)&lt;50,"Too short","OK")))</f>
        <v/>
      </c>
      <c r="I11" s="6"/>
      <c r="J11" s="5" t="str">
        <f aca="false">IF(I11="","",LEN(I11))</f>
        <v/>
      </c>
      <c r="K11" s="5" t="str">
        <f aca="false">IF(I11="","",IF(LEN(I11)&gt;160,"Too long",IF(LEN(I11)&lt;140,"Too short","OK")))</f>
        <v/>
      </c>
      <c r="L11" s="6"/>
      <c r="M11" s="6"/>
      <c r="N11" s="5" t="str">
        <f aca="false">IF(TRIM(M11)="","",LEN(TRIM(M11))-LEN(SUBSTITUTE(TRIM(M11)," ",""))+1)</f>
        <v/>
      </c>
      <c r="O11" s="5" t="str">
        <f aca="false">IF(TRIM(M11)="","",IF(LEN(TRIM(M11))-LEN(SUBSTITUTE(TRIM(M11)," ",""))+1&gt;100,"Too long",IF(LEN(TRIM(M11))-LEN(SUBSTITUTE(TRIM(M11)," ",""))+1&lt;60,"Too short","OK")))</f>
        <v/>
      </c>
      <c r="P11" s="5" t="s">
        <v>56</v>
      </c>
    </row>
    <row r="12" customFormat="false" ht="26.85" hidden="false" customHeight="false" outlineLevel="0" collapsed="false">
      <c r="A12" s="5" t="s">
        <v>73</v>
      </c>
      <c r="B12" s="5" t="s">
        <v>74</v>
      </c>
      <c r="C12" s="5" t="s">
        <v>73</v>
      </c>
      <c r="D12" s="5" t="s">
        <v>73</v>
      </c>
      <c r="E12" s="5" t="s">
        <v>88</v>
      </c>
      <c r="F12" s="6"/>
      <c r="G12" s="5" t="str">
        <f aca="false">IF(F12="","",LEN(F12))</f>
        <v/>
      </c>
      <c r="H12" s="5" t="str">
        <f aca="false">IF(F12="","",IF(LEN(F12)&gt;60,"Too long",IF(LEN(F12)&lt;50,"Too short","OK")))</f>
        <v/>
      </c>
      <c r="I12" s="6"/>
      <c r="J12" s="5" t="str">
        <f aca="false">IF(I12="","",LEN(I12))</f>
        <v/>
      </c>
      <c r="K12" s="5" t="str">
        <f aca="false">IF(I12="","",IF(LEN(I12)&gt;160,"Too long",IF(LEN(I12)&lt;140,"Too short","OK")))</f>
        <v/>
      </c>
      <c r="L12" s="6"/>
      <c r="M12" s="6"/>
      <c r="N12" s="5" t="str">
        <f aca="false">IF(TRIM(M12)="","",LEN(TRIM(M12))-LEN(SUBSTITUTE(TRIM(M12)," ",""))+1)</f>
        <v/>
      </c>
      <c r="O12" s="5" t="str">
        <f aca="false">IF(TRIM(M12)="","",IF(LEN(TRIM(M12))-LEN(SUBSTITUTE(TRIM(M12)," ",""))+1&gt;100,"Too long",IF(LEN(TRIM(M12))-LEN(SUBSTITUTE(TRIM(M12)," ",""))+1&lt;60,"Too short","OK")))</f>
        <v/>
      </c>
      <c r="P12" s="5" t="s">
        <v>56</v>
      </c>
    </row>
    <row r="13" customFormat="false" ht="26.85" hidden="false" customHeight="false" outlineLevel="0" collapsed="false">
      <c r="A13" s="5" t="s">
        <v>75</v>
      </c>
      <c r="B13" s="5" t="s">
        <v>76</v>
      </c>
      <c r="C13" s="5" t="s">
        <v>75</v>
      </c>
      <c r="D13" s="5" t="s">
        <v>96</v>
      </c>
      <c r="E13" s="5" t="s">
        <v>88</v>
      </c>
      <c r="F13" s="6"/>
      <c r="G13" s="5" t="str">
        <f aca="false">IF(F13="","",LEN(F13))</f>
        <v/>
      </c>
      <c r="H13" s="5" t="str">
        <f aca="false">IF(F13="","",IF(LEN(F13)&gt;60,"Too long",IF(LEN(F13)&lt;50,"Too short","OK")))</f>
        <v/>
      </c>
      <c r="I13" s="6"/>
      <c r="J13" s="5" t="str">
        <f aca="false">IF(I13="","",LEN(I13))</f>
        <v/>
      </c>
      <c r="K13" s="5" t="str">
        <f aca="false">IF(I13="","",IF(LEN(I13)&gt;160,"Too long",IF(LEN(I13)&lt;140,"Too short","OK")))</f>
        <v/>
      </c>
      <c r="L13" s="6"/>
      <c r="M13" s="6"/>
      <c r="N13" s="5" t="str">
        <f aca="false">IF(TRIM(M13)="","",LEN(TRIM(M13))-LEN(SUBSTITUTE(TRIM(M13)," ",""))+1)</f>
        <v/>
      </c>
      <c r="O13" s="5" t="str">
        <f aca="false">IF(TRIM(M13)="","",IF(LEN(TRIM(M13))-LEN(SUBSTITUTE(TRIM(M13)," ",""))+1&gt;100,"Too long",IF(LEN(TRIM(M13))-LEN(SUBSTITUTE(TRIM(M13)," ",""))+1&lt;60,"Too short","OK")))</f>
        <v/>
      </c>
      <c r="P13" s="5" t="s">
        <v>56</v>
      </c>
    </row>
  </sheetData>
  <autoFilter ref="A1:P13"/>
  <conditionalFormatting sqref="H2:H13">
    <cfRule type="expression" priority="2" aboveAverage="0" equalAverage="0" bottom="0" percent="0" rank="0" text="" dxfId="6">
      <formula>H2="OK"</formula>
    </cfRule>
    <cfRule type="expression" priority="3" aboveAverage="0" equalAverage="0" bottom="0" percent="0" rank="0" text="" dxfId="7">
      <formula>OR(H2="Too long",H2="Too short")</formula>
    </cfRule>
  </conditionalFormatting>
  <conditionalFormatting sqref="K2:K13">
    <cfRule type="expression" priority="4" aboveAverage="0" equalAverage="0" bottom="0" percent="0" rank="0" text="" dxfId="6">
      <formula>K2="OK"</formula>
    </cfRule>
    <cfRule type="expression" priority="5" aboveAverage="0" equalAverage="0" bottom="0" percent="0" rank="0" text="" dxfId="7">
      <formula>OR(K2="Too long",K2="Too short")</formula>
    </cfRule>
  </conditionalFormatting>
  <conditionalFormatting sqref="O2:O13">
    <cfRule type="expression" priority="6" aboveAverage="0" equalAverage="0" bottom="0" percent="0" rank="0" text="" dxfId="6">
      <formula>O2="OK"</formula>
    </cfRule>
    <cfRule type="expression" priority="7" aboveAverage="0" equalAverage="0" bottom="0" percent="0" rank="0" text="" dxfId="7">
      <formula>OR(O2="Too long",O2="Too short")</formula>
    </cfRule>
  </conditionalFormatting>
  <dataValidations count="1">
    <dataValidation allowBlank="true" errorStyle="stop" operator="between" showDropDown="false" showErrorMessage="false" showInputMessage="false" sqref="P2:P13" type="list">
      <formula1>"Not started,Draft,Ready,Needs fix,Live"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10"/>
    <col collapsed="false" customWidth="true" hidden="false" outlineLevel="0" max="4" min="4" style="0" width="70"/>
    <col collapsed="false" customWidth="true" hidden="false" outlineLevel="0" max="5" min="5" style="0" width="8"/>
    <col collapsed="false" customWidth="true" hidden="false" outlineLevel="0" max="6" min="6" style="0" width="10"/>
    <col collapsed="false" customWidth="true" hidden="false" outlineLevel="0" max="7" min="7" style="0" width="13"/>
  </cols>
  <sheetData>
    <row r="1" customFormat="false" ht="31.5" hidden="false" customHeight="true" outlineLevel="0" collapsed="false">
      <c r="A1" s="4" t="s">
        <v>99</v>
      </c>
      <c r="B1" s="4" t="s">
        <v>100</v>
      </c>
      <c r="C1" s="4" t="s">
        <v>101</v>
      </c>
      <c r="D1" s="4" t="s">
        <v>102</v>
      </c>
      <c r="E1" s="4" t="s">
        <v>81</v>
      </c>
      <c r="F1" s="4" t="s">
        <v>82</v>
      </c>
      <c r="G1" s="4" t="s">
        <v>38</v>
      </c>
    </row>
    <row r="2" customFormat="false" ht="15" hidden="false" customHeight="false" outlineLevel="0" collapsed="false">
      <c r="A2" s="5" t="s">
        <v>103</v>
      </c>
      <c r="B2" s="5" t="s">
        <v>104</v>
      </c>
      <c r="C2" s="5" t="n">
        <f aca="false">IF(B2="","",LEN(B2))</f>
        <v>48</v>
      </c>
      <c r="D2" s="6"/>
      <c r="E2" s="5" t="str">
        <f aca="false">IF(D2="","",LEN(D2))</f>
        <v/>
      </c>
      <c r="F2" s="5" t="str">
        <f aca="false">IF(D2="","",IF(LEN(D2)&gt;60,"Too long",IF(LEN(D2)&lt;50,"Too short","OK")))</f>
        <v/>
      </c>
      <c r="G2" s="5" t="s">
        <v>56</v>
      </c>
    </row>
    <row r="3" customFormat="false" ht="64.9" hidden="false" customHeight="false" outlineLevel="0" collapsed="false">
      <c r="A3" s="5" t="s">
        <v>105</v>
      </c>
      <c r="B3" s="5" t="s">
        <v>106</v>
      </c>
      <c r="C3" s="5" t="n">
        <f aca="false">IF(B3="","",LEN(B3))</f>
        <v>309</v>
      </c>
      <c r="D3" s="6"/>
      <c r="E3" s="5" t="str">
        <f aca="false">IF(D3="","",LEN(D3))</f>
        <v/>
      </c>
      <c r="F3" s="5" t="str">
        <f aca="false">IF(D3="","",IF(LEN(D3)&gt;160,"Too long",IF(LEN(D3)&lt;140,"Too short","OK")))</f>
        <v/>
      </c>
      <c r="G3" s="5" t="s">
        <v>56</v>
      </c>
    </row>
    <row r="4" customFormat="false" ht="26.85" hidden="false" customHeight="false" outlineLevel="0" collapsed="false">
      <c r="A4" s="5" t="s">
        <v>107</v>
      </c>
      <c r="B4" s="5"/>
      <c r="C4" s="5" t="str">
        <f aca="false">IF(B4="","",LEN(B4))</f>
        <v/>
      </c>
      <c r="D4" s="6"/>
      <c r="E4" s="5" t="str">
        <f aca="false">IF(D4="","",LEN(D4))</f>
        <v/>
      </c>
      <c r="F4" s="5" t="str">
        <f aca="false">IF(D4="","",IF(LEN(D4)&gt;160,"Too long",IF(LEN(D4)&lt;140,"Too short","OK")))</f>
        <v/>
      </c>
      <c r="G4" s="5" t="s">
        <v>56</v>
      </c>
    </row>
    <row r="6" customFormat="false" ht="15" hidden="false" customHeight="false" outlineLevel="0" collapsed="false">
      <c r="A6" s="7" t="s">
        <v>108</v>
      </c>
    </row>
  </sheetData>
  <autoFilter ref="A1:G4"/>
  <conditionalFormatting sqref="F2:F4">
    <cfRule type="expression" priority="2" aboveAverage="0" equalAverage="0" bottom="0" percent="0" rank="0" text="" dxfId="6">
      <formula>F2="OK"</formula>
    </cfRule>
    <cfRule type="expression" priority="3" aboveAverage="0" equalAverage="0" bottom="0" percent="0" rank="0" text="" dxfId="7">
      <formula>OR(F2="Too long",F2="Too short")</formula>
    </cfRule>
  </conditionalFormatting>
  <dataValidations count="1">
    <dataValidation allowBlank="true" errorStyle="stop" operator="between" showDropDown="false" showErrorMessage="false" showInputMessage="false" sqref="G2:G4" type="list">
      <formula1>"Not started,Draft,Ready,Needs fix,Live"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3" min="3" style="0" width="26"/>
    <col collapsed="false" customWidth="true" hidden="false" outlineLevel="0" max="4" min="4" style="0" width="18"/>
    <col collapsed="false" customWidth="true" hidden="false" outlineLevel="0" max="5" min="5" style="0" width="36"/>
    <col collapsed="false" customWidth="true" hidden="false" outlineLevel="0" max="6" min="6" style="0" width="60"/>
    <col collapsed="false" customWidth="true" hidden="false" outlineLevel="0" max="7" min="7" style="0" width="10"/>
    <col collapsed="false" customWidth="true" hidden="false" outlineLevel="0" max="8" min="8" style="0" width="60"/>
    <col collapsed="false" customWidth="true" hidden="false" outlineLevel="0" max="9" min="9" style="0" width="8"/>
    <col collapsed="false" customWidth="true" hidden="false" outlineLevel="0" max="10" min="10" style="0" width="10"/>
    <col collapsed="false" customWidth="true" hidden="false" outlineLevel="0" max="11" min="11" style="0" width="13"/>
  </cols>
  <sheetData>
    <row r="1" customFormat="false" ht="31.5" hidden="false" customHeight="true" outlineLevel="0" collapsed="false">
      <c r="A1" s="4" t="s">
        <v>109</v>
      </c>
      <c r="B1" s="4" t="s">
        <v>21</v>
      </c>
      <c r="C1" s="4" t="s">
        <v>110</v>
      </c>
      <c r="D1" s="4" t="s">
        <v>111</v>
      </c>
      <c r="E1" s="4" t="s">
        <v>77</v>
      </c>
      <c r="F1" s="4" t="s">
        <v>79</v>
      </c>
      <c r="G1" s="4" t="s">
        <v>101</v>
      </c>
      <c r="H1" s="4" t="s">
        <v>83</v>
      </c>
      <c r="I1" s="4" t="s">
        <v>81</v>
      </c>
      <c r="J1" s="4" t="s">
        <v>82</v>
      </c>
      <c r="K1" s="4" t="s">
        <v>38</v>
      </c>
    </row>
    <row r="2" customFormat="false" ht="52.2" hidden="false" customHeight="false" outlineLevel="0" collapsed="false">
      <c r="A2" s="5" t="s">
        <v>112</v>
      </c>
      <c r="B2" s="5" t="s">
        <v>113</v>
      </c>
      <c r="C2" s="5" t="s">
        <v>114</v>
      </c>
      <c r="D2" s="5"/>
      <c r="E2" s="5" t="s">
        <v>115</v>
      </c>
      <c r="F2" s="5" t="s">
        <v>116</v>
      </c>
      <c r="G2" s="5" t="n">
        <f aca="false">IF(F2="(none)",0,LEN(F2))</f>
        <v>200</v>
      </c>
      <c r="H2" s="6"/>
      <c r="I2" s="5" t="str">
        <f aca="false">IF(H2="","",LEN(H2))</f>
        <v/>
      </c>
      <c r="J2" s="5" t="str">
        <f aca="false">IF(H2="","",IF(LEN(H2)&gt;160,"Too long",IF(LEN(H2)&lt;140,"Too short","OK")))</f>
        <v/>
      </c>
      <c r="K2" s="5" t="s">
        <v>56</v>
      </c>
    </row>
    <row r="3" customFormat="false" ht="52.2" hidden="false" customHeight="false" outlineLevel="0" collapsed="false">
      <c r="A3" s="5" t="s">
        <v>117</v>
      </c>
      <c r="B3" s="5" t="s">
        <v>118</v>
      </c>
      <c r="C3" s="5" t="s">
        <v>114</v>
      </c>
      <c r="D3" s="5"/>
      <c r="E3" s="5" t="s">
        <v>119</v>
      </c>
      <c r="F3" s="5" t="s">
        <v>120</v>
      </c>
      <c r="G3" s="5" t="n">
        <f aca="false">IF(F3="(none)",0,LEN(F3))</f>
        <v>200</v>
      </c>
      <c r="H3" s="6"/>
      <c r="I3" s="5" t="str">
        <f aca="false">IF(H3="","",LEN(H3))</f>
        <v/>
      </c>
      <c r="J3" s="5" t="str">
        <f aca="false">IF(H3="","",IF(LEN(H3)&gt;160,"Too long",IF(LEN(H3)&lt;140,"Too short","OK")))</f>
        <v/>
      </c>
      <c r="K3" s="5" t="s">
        <v>56</v>
      </c>
    </row>
    <row r="4" customFormat="false" ht="15" hidden="false" customHeight="false" outlineLevel="0" collapsed="false">
      <c r="A4" s="5" t="s">
        <v>121</v>
      </c>
      <c r="B4" s="5" t="s">
        <v>122</v>
      </c>
      <c r="C4" s="5" t="s">
        <v>114</v>
      </c>
      <c r="D4" s="5"/>
      <c r="E4" s="5" t="s">
        <v>123</v>
      </c>
      <c r="F4" s="5" t="s">
        <v>124</v>
      </c>
      <c r="G4" s="5" t="n">
        <f aca="false">IF(F4="(none)",0,LEN(F4))</f>
        <v>44</v>
      </c>
      <c r="H4" s="6"/>
      <c r="I4" s="5" t="str">
        <f aca="false">IF(H4="","",LEN(H4))</f>
        <v/>
      </c>
      <c r="J4" s="5" t="str">
        <f aca="false">IF(H4="","",IF(LEN(H4)&gt;160,"Too long",IF(LEN(H4)&lt;140,"Too short","OK")))</f>
        <v/>
      </c>
      <c r="K4" s="5" t="s">
        <v>56</v>
      </c>
    </row>
    <row r="5" customFormat="false" ht="26.85" hidden="false" customHeight="false" outlineLevel="0" collapsed="false">
      <c r="A5" s="5" t="s">
        <v>125</v>
      </c>
      <c r="B5" s="5" t="s">
        <v>126</v>
      </c>
      <c r="C5" s="5" t="s">
        <v>114</v>
      </c>
      <c r="D5" s="5"/>
      <c r="E5" s="5" t="s">
        <v>127</v>
      </c>
      <c r="F5" s="5" t="s">
        <v>88</v>
      </c>
      <c r="G5" s="5" t="n">
        <f aca="false">IF(F5="(none)",0,LEN(F5))</f>
        <v>0</v>
      </c>
      <c r="H5" s="6"/>
      <c r="I5" s="5" t="str">
        <f aca="false">IF(H5="","",LEN(H5))</f>
        <v/>
      </c>
      <c r="J5" s="5" t="str">
        <f aca="false">IF(H5="","",IF(LEN(H5)&gt;160,"Too long",IF(LEN(H5)&lt;140,"Too short","OK")))</f>
        <v/>
      </c>
      <c r="K5" s="5" t="s">
        <v>56</v>
      </c>
    </row>
    <row r="6" customFormat="false" ht="52.2" hidden="false" customHeight="false" outlineLevel="0" collapsed="false">
      <c r="A6" s="5" t="s">
        <v>128</v>
      </c>
      <c r="B6" s="5" t="s">
        <v>129</v>
      </c>
      <c r="C6" s="5" t="s">
        <v>114</v>
      </c>
      <c r="D6" s="5"/>
      <c r="E6" s="5" t="s">
        <v>130</v>
      </c>
      <c r="F6" s="5" t="s">
        <v>131</v>
      </c>
      <c r="G6" s="5" t="n">
        <f aca="false">IF(F6="(none)",0,LEN(F6))</f>
        <v>200</v>
      </c>
      <c r="H6" s="6"/>
      <c r="I6" s="5" t="str">
        <f aca="false">IF(H6="","",LEN(H6))</f>
        <v/>
      </c>
      <c r="J6" s="5" t="str">
        <f aca="false">IF(H6="","",IF(LEN(H6)&gt;160,"Too long",IF(LEN(H6)&lt;140,"Too short","OK")))</f>
        <v/>
      </c>
      <c r="K6" s="5" t="s">
        <v>56</v>
      </c>
    </row>
    <row r="7" customFormat="false" ht="26.85" hidden="false" customHeight="false" outlineLevel="0" collapsed="false">
      <c r="A7" s="5" t="s">
        <v>132</v>
      </c>
      <c r="B7" s="5" t="s">
        <v>133</v>
      </c>
      <c r="C7" s="5" t="s">
        <v>114</v>
      </c>
      <c r="D7" s="5"/>
      <c r="E7" s="5" t="s">
        <v>134</v>
      </c>
      <c r="F7" s="5" t="s">
        <v>88</v>
      </c>
      <c r="G7" s="5" t="n">
        <f aca="false">IF(F7="(none)",0,LEN(F7))</f>
        <v>0</v>
      </c>
      <c r="H7" s="6"/>
      <c r="I7" s="5" t="str">
        <f aca="false">IF(H7="","",LEN(H7))</f>
        <v/>
      </c>
      <c r="J7" s="5" t="str">
        <f aca="false">IF(H7="","",IF(LEN(H7)&gt;160,"Too long",IF(LEN(H7)&lt;140,"Too short","OK")))</f>
        <v/>
      </c>
      <c r="K7" s="5" t="s">
        <v>56</v>
      </c>
    </row>
    <row r="8" customFormat="false" ht="39.55" hidden="false" customHeight="false" outlineLevel="0" collapsed="false">
      <c r="A8" s="5" t="s">
        <v>135</v>
      </c>
      <c r="B8" s="5" t="s">
        <v>136</v>
      </c>
      <c r="C8" s="5" t="s">
        <v>114</v>
      </c>
      <c r="D8" s="5"/>
      <c r="E8" s="5" t="s">
        <v>137</v>
      </c>
      <c r="F8" s="5" t="s">
        <v>138</v>
      </c>
      <c r="G8" s="5" t="n">
        <f aca="false">IF(F8="(none)",0,LEN(F8))</f>
        <v>151</v>
      </c>
      <c r="H8" s="6"/>
      <c r="I8" s="5" t="str">
        <f aca="false">IF(H8="","",LEN(H8))</f>
        <v/>
      </c>
      <c r="J8" s="5" t="str">
        <f aca="false">IF(H8="","",IF(LEN(H8)&gt;160,"Too long",IF(LEN(H8)&lt;140,"Too short","OK")))</f>
        <v/>
      </c>
      <c r="K8" s="5" t="s">
        <v>56</v>
      </c>
    </row>
    <row r="9" customFormat="false" ht="39.55" hidden="false" customHeight="false" outlineLevel="0" collapsed="false">
      <c r="A9" s="5" t="s">
        <v>139</v>
      </c>
      <c r="B9" s="5" t="s">
        <v>140</v>
      </c>
      <c r="C9" s="5" t="s">
        <v>114</v>
      </c>
      <c r="D9" s="5"/>
      <c r="E9" s="5" t="s">
        <v>139</v>
      </c>
      <c r="F9" s="5" t="s">
        <v>141</v>
      </c>
      <c r="G9" s="5" t="n">
        <f aca="false">IF(F9="(none)",0,LEN(F9))</f>
        <v>158</v>
      </c>
      <c r="H9" s="6"/>
      <c r="I9" s="5" t="str">
        <f aca="false">IF(H9="","",LEN(H9))</f>
        <v/>
      </c>
      <c r="J9" s="5" t="str">
        <f aca="false">IF(H9="","",IF(LEN(H9)&gt;160,"Too long",IF(LEN(H9)&lt;140,"Too short","OK")))</f>
        <v/>
      </c>
      <c r="K9" s="5" t="s">
        <v>56</v>
      </c>
    </row>
    <row r="10" customFormat="false" ht="52.2" hidden="false" customHeight="false" outlineLevel="0" collapsed="false">
      <c r="A10" s="5" t="s">
        <v>142</v>
      </c>
      <c r="B10" s="5" t="s">
        <v>143</v>
      </c>
      <c r="C10" s="5" t="s">
        <v>114</v>
      </c>
      <c r="D10" s="5"/>
      <c r="E10" s="5" t="s">
        <v>144</v>
      </c>
      <c r="F10" s="5" t="s">
        <v>145</v>
      </c>
      <c r="G10" s="5" t="n">
        <f aca="false">IF(F10="(none)",0,LEN(F10))</f>
        <v>200</v>
      </c>
      <c r="H10" s="6"/>
      <c r="I10" s="5" t="str">
        <f aca="false">IF(H10="","",LEN(H10))</f>
        <v/>
      </c>
      <c r="J10" s="5" t="str">
        <f aca="false">IF(H10="","",IF(LEN(H10)&gt;160,"Too long",IF(LEN(H10)&lt;140,"Too short","OK")))</f>
        <v/>
      </c>
      <c r="K10" s="5" t="s">
        <v>56</v>
      </c>
    </row>
    <row r="11" customFormat="false" ht="39.55" hidden="false" customHeight="false" outlineLevel="0" collapsed="false">
      <c r="A11" s="5" t="s">
        <v>146</v>
      </c>
      <c r="B11" s="5" t="s">
        <v>147</v>
      </c>
      <c r="C11" s="5" t="s">
        <v>114</v>
      </c>
      <c r="D11" s="5"/>
      <c r="E11" s="5" t="s">
        <v>148</v>
      </c>
      <c r="F11" s="5" t="s">
        <v>149</v>
      </c>
      <c r="G11" s="5" t="n">
        <f aca="false">IF(F11="(none)",0,LEN(F11))</f>
        <v>155</v>
      </c>
      <c r="H11" s="6"/>
      <c r="I11" s="5" t="str">
        <f aca="false">IF(H11="","",LEN(H11))</f>
        <v/>
      </c>
      <c r="J11" s="5" t="str">
        <f aca="false">IF(H11="","",IF(LEN(H11)&gt;160,"Too long",IF(LEN(H11)&lt;140,"Too short","OK")))</f>
        <v/>
      </c>
      <c r="K11" s="5" t="s">
        <v>56</v>
      </c>
    </row>
    <row r="12" customFormat="false" ht="15" hidden="false" customHeight="false" outlineLevel="0" collapsed="false">
      <c r="A12" s="5" t="s">
        <v>150</v>
      </c>
      <c r="B12" s="5" t="s">
        <v>151</v>
      </c>
      <c r="C12" s="5" t="s">
        <v>114</v>
      </c>
      <c r="D12" s="5"/>
      <c r="E12" s="5" t="s">
        <v>152</v>
      </c>
      <c r="F12" s="5" t="s">
        <v>88</v>
      </c>
      <c r="G12" s="5" t="n">
        <f aca="false">IF(F12="(none)",0,LEN(F12))</f>
        <v>0</v>
      </c>
      <c r="H12" s="6"/>
      <c r="I12" s="5" t="str">
        <f aca="false">IF(H12="","",LEN(H12))</f>
        <v/>
      </c>
      <c r="J12" s="5" t="str">
        <f aca="false">IF(H12="","",IF(LEN(H12)&gt;160,"Too long",IF(LEN(H12)&lt;140,"Too short","OK")))</f>
        <v/>
      </c>
      <c r="K12" s="5" t="s">
        <v>56</v>
      </c>
    </row>
    <row r="13" customFormat="false" ht="52.2" hidden="false" customHeight="false" outlineLevel="0" collapsed="false">
      <c r="A13" s="5" t="s">
        <v>153</v>
      </c>
      <c r="B13" s="5" t="s">
        <v>154</v>
      </c>
      <c r="C13" s="5" t="s">
        <v>114</v>
      </c>
      <c r="D13" s="5"/>
      <c r="E13" s="5" t="s">
        <v>155</v>
      </c>
      <c r="F13" s="5" t="s">
        <v>156</v>
      </c>
      <c r="G13" s="5" t="n">
        <f aca="false">IF(F13="(none)",0,LEN(F13))</f>
        <v>200</v>
      </c>
      <c r="H13" s="6"/>
      <c r="I13" s="5" t="str">
        <f aca="false">IF(H13="","",LEN(H13))</f>
        <v/>
      </c>
      <c r="J13" s="5" t="str">
        <f aca="false">IF(H13="","",IF(LEN(H13)&gt;160,"Too long",IF(LEN(H13)&lt;140,"Too short","OK")))</f>
        <v/>
      </c>
      <c r="K13" s="5" t="s">
        <v>56</v>
      </c>
    </row>
    <row r="14" customFormat="false" ht="39.55" hidden="false" customHeight="false" outlineLevel="0" collapsed="false">
      <c r="A14" s="5" t="s">
        <v>157</v>
      </c>
      <c r="B14" s="5" t="s">
        <v>158</v>
      </c>
      <c r="C14" s="5" t="s">
        <v>114</v>
      </c>
      <c r="D14" s="5"/>
      <c r="E14" s="5" t="s">
        <v>159</v>
      </c>
      <c r="F14" s="5" t="s">
        <v>160</v>
      </c>
      <c r="G14" s="5" t="n">
        <f aca="false">IF(F14="(none)",0,LEN(F14))</f>
        <v>155</v>
      </c>
      <c r="H14" s="6"/>
      <c r="I14" s="5" t="str">
        <f aca="false">IF(H14="","",LEN(H14))</f>
        <v/>
      </c>
      <c r="J14" s="5" t="str">
        <f aca="false">IF(H14="","",IF(LEN(H14)&gt;160,"Too long",IF(LEN(H14)&lt;140,"Too short","OK")))</f>
        <v/>
      </c>
      <c r="K14" s="5" t="s">
        <v>56</v>
      </c>
    </row>
    <row r="15" customFormat="false" ht="39.55" hidden="false" customHeight="false" outlineLevel="0" collapsed="false">
      <c r="A15" s="5" t="s">
        <v>161</v>
      </c>
      <c r="B15" s="5" t="s">
        <v>162</v>
      </c>
      <c r="C15" s="5" t="s">
        <v>114</v>
      </c>
      <c r="D15" s="5"/>
      <c r="E15" s="5" t="s">
        <v>161</v>
      </c>
      <c r="F15" s="5" t="s">
        <v>163</v>
      </c>
      <c r="G15" s="5" t="n">
        <f aca="false">IF(F15="(none)",0,LEN(F15))</f>
        <v>156</v>
      </c>
      <c r="H15" s="6"/>
      <c r="I15" s="5" t="str">
        <f aca="false">IF(H15="","",LEN(H15))</f>
        <v/>
      </c>
      <c r="J15" s="5" t="str">
        <f aca="false">IF(H15="","",IF(LEN(H15)&gt;160,"Too long",IF(LEN(H15)&lt;140,"Too short","OK")))</f>
        <v/>
      </c>
      <c r="K15" s="5" t="s">
        <v>56</v>
      </c>
    </row>
    <row r="16" customFormat="false" ht="39.55" hidden="false" customHeight="false" outlineLevel="0" collapsed="false">
      <c r="A16" s="5" t="s">
        <v>164</v>
      </c>
      <c r="B16" s="5" t="s">
        <v>165</v>
      </c>
      <c r="C16" s="5" t="s">
        <v>114</v>
      </c>
      <c r="D16" s="5"/>
      <c r="E16" s="5" t="s">
        <v>166</v>
      </c>
      <c r="F16" s="5" t="s">
        <v>167</v>
      </c>
      <c r="G16" s="5" t="n">
        <f aca="false">IF(F16="(none)",0,LEN(F16))</f>
        <v>151</v>
      </c>
      <c r="H16" s="6"/>
      <c r="I16" s="5" t="str">
        <f aca="false">IF(H16="","",LEN(H16))</f>
        <v/>
      </c>
      <c r="J16" s="5" t="str">
        <f aca="false">IF(H16="","",IF(LEN(H16)&gt;160,"Too long",IF(LEN(H16)&lt;140,"Too short","OK")))</f>
        <v/>
      </c>
      <c r="K16" s="5" t="s">
        <v>56</v>
      </c>
    </row>
    <row r="17" customFormat="false" ht="52.2" hidden="false" customHeight="false" outlineLevel="0" collapsed="false">
      <c r="A17" s="5" t="s">
        <v>168</v>
      </c>
      <c r="B17" s="5" t="s">
        <v>169</v>
      </c>
      <c r="C17" s="5" t="s">
        <v>114</v>
      </c>
      <c r="D17" s="5"/>
      <c r="E17" s="5" t="s">
        <v>170</v>
      </c>
      <c r="F17" s="5" t="s">
        <v>171</v>
      </c>
      <c r="G17" s="5" t="n">
        <f aca="false">IF(F17="(none)",0,LEN(F17))</f>
        <v>200</v>
      </c>
      <c r="H17" s="6"/>
      <c r="I17" s="5" t="str">
        <f aca="false">IF(H17="","",LEN(H17))</f>
        <v/>
      </c>
      <c r="J17" s="5" t="str">
        <f aca="false">IF(H17="","",IF(LEN(H17)&gt;160,"Too long",IF(LEN(H17)&lt;140,"Too short","OK")))</f>
        <v/>
      </c>
      <c r="K17" s="5" t="s">
        <v>56</v>
      </c>
    </row>
    <row r="18" customFormat="false" ht="15" hidden="false" customHeight="false" outlineLevel="0" collapsed="false">
      <c r="A18" s="5" t="s">
        <v>172</v>
      </c>
      <c r="B18" s="5" t="s">
        <v>173</v>
      </c>
      <c r="C18" s="5" t="s">
        <v>174</v>
      </c>
      <c r="D18" s="5"/>
      <c r="E18" s="5" t="s">
        <v>175</v>
      </c>
      <c r="F18" s="5" t="s">
        <v>88</v>
      </c>
      <c r="G18" s="5" t="n">
        <f aca="false">IF(F18="(none)",0,LEN(F18))</f>
        <v>0</v>
      </c>
      <c r="H18" s="6"/>
      <c r="I18" s="5" t="str">
        <f aca="false">IF(H18="","",LEN(H18))</f>
        <v/>
      </c>
      <c r="J18" s="5" t="str">
        <f aca="false">IF(H18="","",IF(LEN(H18)&gt;160,"Too long",IF(LEN(H18)&lt;140,"Too short","OK")))</f>
        <v/>
      </c>
      <c r="K18" s="5" t="s">
        <v>56</v>
      </c>
    </row>
    <row r="19" customFormat="false" ht="26.85" hidden="false" customHeight="false" outlineLevel="0" collapsed="false">
      <c r="A19" s="5" t="s">
        <v>176</v>
      </c>
      <c r="B19" s="5" t="s">
        <v>177</v>
      </c>
      <c r="C19" s="5" t="s">
        <v>174</v>
      </c>
      <c r="D19" s="5"/>
      <c r="E19" s="5" t="s">
        <v>178</v>
      </c>
      <c r="F19" s="5" t="s">
        <v>88</v>
      </c>
      <c r="G19" s="5" t="n">
        <f aca="false">IF(F19="(none)",0,LEN(F19))</f>
        <v>0</v>
      </c>
      <c r="H19" s="6"/>
      <c r="I19" s="5" t="str">
        <f aca="false">IF(H19="","",LEN(H19))</f>
        <v/>
      </c>
      <c r="J19" s="5" t="str">
        <f aca="false">IF(H19="","",IF(LEN(H19)&gt;160,"Too long",IF(LEN(H19)&lt;140,"Too short","OK")))</f>
        <v/>
      </c>
      <c r="K19" s="5" t="s">
        <v>56</v>
      </c>
    </row>
    <row r="20" customFormat="false" ht="26.85" hidden="false" customHeight="false" outlineLevel="0" collapsed="false">
      <c r="A20" s="5" t="s">
        <v>179</v>
      </c>
      <c r="B20" s="5" t="s">
        <v>180</v>
      </c>
      <c r="C20" s="5" t="s">
        <v>174</v>
      </c>
      <c r="D20" s="5"/>
      <c r="E20" s="5" t="s">
        <v>181</v>
      </c>
      <c r="F20" s="5" t="s">
        <v>88</v>
      </c>
      <c r="G20" s="5" t="n">
        <f aca="false">IF(F20="(none)",0,LEN(F20))</f>
        <v>0</v>
      </c>
      <c r="H20" s="6"/>
      <c r="I20" s="5" t="str">
        <f aca="false">IF(H20="","",LEN(H20))</f>
        <v/>
      </c>
      <c r="J20" s="5" t="str">
        <f aca="false">IF(H20="","",IF(LEN(H20)&gt;160,"Too long",IF(LEN(H20)&lt;140,"Too short","OK")))</f>
        <v/>
      </c>
      <c r="K20" s="5" t="s">
        <v>56</v>
      </c>
    </row>
    <row r="21" customFormat="false" ht="26.85" hidden="false" customHeight="false" outlineLevel="0" collapsed="false">
      <c r="A21" s="5" t="s">
        <v>182</v>
      </c>
      <c r="B21" s="5" t="s">
        <v>183</v>
      </c>
      <c r="C21" s="5" t="s">
        <v>174</v>
      </c>
      <c r="D21" s="5"/>
      <c r="E21" s="5" t="s">
        <v>184</v>
      </c>
      <c r="F21" s="5" t="s">
        <v>185</v>
      </c>
      <c r="G21" s="5" t="n">
        <f aca="false">IF(F21="(none)",0,LEN(F21))</f>
        <v>89</v>
      </c>
      <c r="H21" s="6"/>
      <c r="I21" s="5" t="str">
        <f aca="false">IF(H21="","",LEN(H21))</f>
        <v/>
      </c>
      <c r="J21" s="5" t="str">
        <f aca="false">IF(H21="","",IF(LEN(H21)&gt;160,"Too long",IF(LEN(H21)&lt;140,"Too short","OK")))</f>
        <v/>
      </c>
      <c r="K21" s="5" t="s">
        <v>56</v>
      </c>
    </row>
    <row r="22" customFormat="false" ht="26.85" hidden="false" customHeight="false" outlineLevel="0" collapsed="false">
      <c r="A22" s="5" t="s">
        <v>186</v>
      </c>
      <c r="B22" s="5" t="s">
        <v>187</v>
      </c>
      <c r="C22" s="5" t="s">
        <v>174</v>
      </c>
      <c r="D22" s="5"/>
      <c r="E22" s="5" t="s">
        <v>188</v>
      </c>
      <c r="F22" s="5" t="s">
        <v>88</v>
      </c>
      <c r="G22" s="5" t="n">
        <f aca="false">IF(F22="(none)",0,LEN(F22))</f>
        <v>0</v>
      </c>
      <c r="H22" s="6"/>
      <c r="I22" s="5" t="str">
        <f aca="false">IF(H22="","",LEN(H22))</f>
        <v/>
      </c>
      <c r="J22" s="5" t="str">
        <f aca="false">IF(H22="","",IF(LEN(H22)&gt;160,"Too long",IF(LEN(H22)&lt;140,"Too short","OK")))</f>
        <v/>
      </c>
      <c r="K22" s="5" t="s">
        <v>56</v>
      </c>
    </row>
    <row r="23" customFormat="false" ht="15" hidden="false" customHeight="false" outlineLevel="0" collapsed="false">
      <c r="A23" s="5" t="s">
        <v>189</v>
      </c>
      <c r="B23" s="5" t="s">
        <v>190</v>
      </c>
      <c r="C23" s="5" t="s">
        <v>174</v>
      </c>
      <c r="D23" s="5"/>
      <c r="E23" s="5" t="s">
        <v>191</v>
      </c>
      <c r="F23" s="5" t="s">
        <v>88</v>
      </c>
      <c r="G23" s="5" t="n">
        <f aca="false">IF(F23="(none)",0,LEN(F23))</f>
        <v>0</v>
      </c>
      <c r="H23" s="6"/>
      <c r="I23" s="5" t="str">
        <f aca="false">IF(H23="","",LEN(H23))</f>
        <v/>
      </c>
      <c r="J23" s="5" t="str">
        <f aca="false">IF(H23="","",IF(LEN(H23)&gt;160,"Too long",IF(LEN(H23)&lt;140,"Too short","OK")))</f>
        <v/>
      </c>
      <c r="K23" s="5" t="s">
        <v>56</v>
      </c>
    </row>
    <row r="24" customFormat="false" ht="39.55" hidden="false" customHeight="false" outlineLevel="0" collapsed="false">
      <c r="A24" s="5" t="s">
        <v>192</v>
      </c>
      <c r="B24" s="5" t="s">
        <v>193</v>
      </c>
      <c r="C24" s="5" t="s">
        <v>174</v>
      </c>
      <c r="D24" s="5"/>
      <c r="E24" s="5" t="s">
        <v>194</v>
      </c>
      <c r="F24" s="5" t="s">
        <v>195</v>
      </c>
      <c r="G24" s="5" t="n">
        <f aca="false">IF(F24="(none)",0,LEN(F24))</f>
        <v>161</v>
      </c>
      <c r="H24" s="6"/>
      <c r="I24" s="5" t="str">
        <f aca="false">IF(H24="","",LEN(H24))</f>
        <v/>
      </c>
      <c r="J24" s="5" t="str">
        <f aca="false">IF(H24="","",IF(LEN(H24)&gt;160,"Too long",IF(LEN(H24)&lt;140,"Too short","OK")))</f>
        <v/>
      </c>
      <c r="K24" s="5" t="s">
        <v>56</v>
      </c>
    </row>
    <row r="25" customFormat="false" ht="15" hidden="false" customHeight="false" outlineLevel="0" collapsed="false">
      <c r="A25" s="5" t="s">
        <v>196</v>
      </c>
      <c r="B25" s="5" t="s">
        <v>197</v>
      </c>
      <c r="C25" s="5" t="s">
        <v>174</v>
      </c>
      <c r="D25" s="5"/>
      <c r="E25" s="5" t="s">
        <v>198</v>
      </c>
      <c r="F25" s="5" t="s">
        <v>199</v>
      </c>
      <c r="G25" s="5" t="n">
        <f aca="false">IF(F25="(none)",0,LEN(F25))</f>
        <v>4</v>
      </c>
      <c r="H25" s="6"/>
      <c r="I25" s="5" t="str">
        <f aca="false">IF(H25="","",LEN(H25))</f>
        <v/>
      </c>
      <c r="J25" s="5" t="str">
        <f aca="false">IF(H25="","",IF(LEN(H25)&gt;160,"Too long",IF(LEN(H25)&lt;140,"Too short","OK")))</f>
        <v/>
      </c>
      <c r="K25" s="5" t="s">
        <v>56</v>
      </c>
    </row>
    <row r="26" customFormat="false" ht="52.2" hidden="false" customHeight="false" outlineLevel="0" collapsed="false">
      <c r="A26" s="5" t="s">
        <v>200</v>
      </c>
      <c r="B26" s="5" t="s">
        <v>201</v>
      </c>
      <c r="C26" s="5" t="s">
        <v>174</v>
      </c>
      <c r="D26" s="5"/>
      <c r="E26" s="5" t="s">
        <v>202</v>
      </c>
      <c r="F26" s="5" t="s">
        <v>203</v>
      </c>
      <c r="G26" s="5" t="n">
        <f aca="false">IF(F26="(none)",0,LEN(F26))</f>
        <v>200</v>
      </c>
      <c r="H26" s="6"/>
      <c r="I26" s="5" t="str">
        <f aca="false">IF(H26="","",LEN(H26))</f>
        <v/>
      </c>
      <c r="J26" s="5" t="str">
        <f aca="false">IF(H26="","",IF(LEN(H26)&gt;160,"Too long",IF(LEN(H26)&lt;140,"Too short","OK")))</f>
        <v/>
      </c>
      <c r="K26" s="5" t="s">
        <v>56</v>
      </c>
    </row>
    <row r="27" customFormat="false" ht="26.85" hidden="false" customHeight="false" outlineLevel="0" collapsed="false">
      <c r="A27" s="5" t="s">
        <v>204</v>
      </c>
      <c r="B27" s="5" t="s">
        <v>205</v>
      </c>
      <c r="C27" s="5" t="s">
        <v>174</v>
      </c>
      <c r="D27" s="5"/>
      <c r="E27" s="5" t="s">
        <v>206</v>
      </c>
      <c r="F27" s="5" t="s">
        <v>88</v>
      </c>
      <c r="G27" s="5" t="n">
        <f aca="false">IF(F27="(none)",0,LEN(F27))</f>
        <v>0</v>
      </c>
      <c r="H27" s="6"/>
      <c r="I27" s="5" t="str">
        <f aca="false">IF(H27="","",LEN(H27))</f>
        <v/>
      </c>
      <c r="J27" s="5" t="str">
        <f aca="false">IF(H27="","",IF(LEN(H27)&gt;160,"Too long",IF(LEN(H27)&lt;140,"Too short","OK")))</f>
        <v/>
      </c>
      <c r="K27" s="5" t="s">
        <v>56</v>
      </c>
    </row>
    <row r="28" customFormat="false" ht="15" hidden="false" customHeight="false" outlineLevel="0" collapsed="false">
      <c r="A28" s="5" t="s">
        <v>207</v>
      </c>
      <c r="B28" s="5" t="s">
        <v>208</v>
      </c>
      <c r="C28" s="5" t="s">
        <v>174</v>
      </c>
      <c r="D28" s="5"/>
      <c r="E28" s="5" t="s">
        <v>209</v>
      </c>
      <c r="F28" s="5" t="s">
        <v>88</v>
      </c>
      <c r="G28" s="5" t="n">
        <f aca="false">IF(F28="(none)",0,LEN(F28))</f>
        <v>0</v>
      </c>
      <c r="H28" s="6"/>
      <c r="I28" s="5" t="str">
        <f aca="false">IF(H28="","",LEN(H28))</f>
        <v/>
      </c>
      <c r="J28" s="5" t="str">
        <f aca="false">IF(H28="","",IF(LEN(H28)&gt;160,"Too long",IF(LEN(H28)&lt;140,"Too short","OK")))</f>
        <v/>
      </c>
      <c r="K28" s="5" t="s">
        <v>56</v>
      </c>
    </row>
    <row r="29" customFormat="false" ht="26.85" hidden="false" customHeight="false" outlineLevel="0" collapsed="false">
      <c r="A29" s="5" t="s">
        <v>210</v>
      </c>
      <c r="B29" s="5" t="s">
        <v>211</v>
      </c>
      <c r="C29" s="5" t="s">
        <v>174</v>
      </c>
      <c r="D29" s="5"/>
      <c r="E29" s="5" t="s">
        <v>212</v>
      </c>
      <c r="F29" s="5" t="s">
        <v>88</v>
      </c>
      <c r="G29" s="5" t="n">
        <f aca="false">IF(F29="(none)",0,LEN(F29))</f>
        <v>0</v>
      </c>
      <c r="H29" s="6"/>
      <c r="I29" s="5" t="str">
        <f aca="false">IF(H29="","",LEN(H29))</f>
        <v/>
      </c>
      <c r="J29" s="5" t="str">
        <f aca="false">IF(H29="","",IF(LEN(H29)&gt;160,"Too long",IF(LEN(H29)&lt;140,"Too short","OK")))</f>
        <v/>
      </c>
      <c r="K29" s="5" t="s">
        <v>56</v>
      </c>
    </row>
    <row r="30" customFormat="false" ht="39.55" hidden="false" customHeight="false" outlineLevel="0" collapsed="false">
      <c r="A30" s="5" t="s">
        <v>213</v>
      </c>
      <c r="B30" s="5" t="s">
        <v>214</v>
      </c>
      <c r="C30" s="5" t="s">
        <v>215</v>
      </c>
      <c r="D30" s="5"/>
      <c r="E30" s="5" t="s">
        <v>213</v>
      </c>
      <c r="F30" s="5" t="s">
        <v>216</v>
      </c>
      <c r="G30" s="5" t="n">
        <f aca="false">IF(F30="(none)",0,LEN(F30))</f>
        <v>157</v>
      </c>
      <c r="H30" s="6"/>
      <c r="I30" s="5" t="str">
        <f aca="false">IF(H30="","",LEN(H30))</f>
        <v/>
      </c>
      <c r="J30" s="5" t="str">
        <f aca="false">IF(H30="","",IF(LEN(H30)&gt;160,"Too long",IF(LEN(H30)&lt;140,"Too short","OK")))</f>
        <v/>
      </c>
      <c r="K30" s="5" t="s">
        <v>56</v>
      </c>
    </row>
    <row r="31" customFormat="false" ht="52.2" hidden="false" customHeight="false" outlineLevel="0" collapsed="false">
      <c r="A31" s="5" t="s">
        <v>217</v>
      </c>
      <c r="B31" s="5" t="s">
        <v>218</v>
      </c>
      <c r="C31" s="5" t="s">
        <v>215</v>
      </c>
      <c r="D31" s="5"/>
      <c r="E31" s="5" t="s">
        <v>219</v>
      </c>
      <c r="F31" s="5" t="s">
        <v>220</v>
      </c>
      <c r="G31" s="5" t="n">
        <f aca="false">IF(F31="(none)",0,LEN(F31))</f>
        <v>200</v>
      </c>
      <c r="H31" s="6"/>
      <c r="I31" s="5" t="str">
        <f aca="false">IF(H31="","",LEN(H31))</f>
        <v/>
      </c>
      <c r="J31" s="5" t="str">
        <f aca="false">IF(H31="","",IF(LEN(H31)&gt;160,"Too long",IF(LEN(H31)&lt;140,"Too short","OK")))</f>
        <v/>
      </c>
      <c r="K31" s="5" t="s">
        <v>56</v>
      </c>
    </row>
    <row r="32" customFormat="false" ht="26.85" hidden="false" customHeight="false" outlineLevel="0" collapsed="false">
      <c r="A32" s="5" t="s">
        <v>221</v>
      </c>
      <c r="B32" s="5" t="s">
        <v>222</v>
      </c>
      <c r="C32" s="5" t="s">
        <v>215</v>
      </c>
      <c r="D32" s="5"/>
      <c r="E32" s="5" t="s">
        <v>223</v>
      </c>
      <c r="F32" s="5" t="s">
        <v>224</v>
      </c>
      <c r="G32" s="5" t="n">
        <f aca="false">IF(F32="(none)",0,LEN(F32))</f>
        <v>54</v>
      </c>
      <c r="H32" s="6"/>
      <c r="I32" s="5" t="str">
        <f aca="false">IF(H32="","",LEN(H32))</f>
        <v/>
      </c>
      <c r="J32" s="5" t="str">
        <f aca="false">IF(H32="","",IF(LEN(H32)&gt;160,"Too long",IF(LEN(H32)&lt;140,"Too short","OK")))</f>
        <v/>
      </c>
      <c r="K32" s="5" t="s">
        <v>56</v>
      </c>
    </row>
    <row r="33" customFormat="false" ht="26.85" hidden="false" customHeight="false" outlineLevel="0" collapsed="false">
      <c r="A33" s="5" t="s">
        <v>225</v>
      </c>
      <c r="B33" s="5" t="s">
        <v>226</v>
      </c>
      <c r="C33" s="5" t="s">
        <v>215</v>
      </c>
      <c r="D33" s="5"/>
      <c r="E33" s="5" t="s">
        <v>227</v>
      </c>
      <c r="F33" s="5" t="s">
        <v>88</v>
      </c>
      <c r="G33" s="5" t="n">
        <f aca="false">IF(F33="(none)",0,LEN(F33))</f>
        <v>0</v>
      </c>
      <c r="H33" s="6"/>
      <c r="I33" s="5" t="str">
        <f aca="false">IF(H33="","",LEN(H33))</f>
        <v/>
      </c>
      <c r="J33" s="5" t="str">
        <f aca="false">IF(H33="","",IF(LEN(H33)&gt;160,"Too long",IF(LEN(H33)&lt;140,"Too short","OK")))</f>
        <v/>
      </c>
      <c r="K33" s="5" t="s">
        <v>56</v>
      </c>
    </row>
    <row r="34" customFormat="false" ht="26.85" hidden="false" customHeight="false" outlineLevel="0" collapsed="false">
      <c r="A34" s="5" t="s">
        <v>228</v>
      </c>
      <c r="B34" s="5" t="s">
        <v>229</v>
      </c>
      <c r="C34" s="5" t="s">
        <v>215</v>
      </c>
      <c r="D34" s="5"/>
      <c r="E34" s="5" t="s">
        <v>230</v>
      </c>
      <c r="F34" s="5" t="s">
        <v>88</v>
      </c>
      <c r="G34" s="5" t="n">
        <f aca="false">IF(F34="(none)",0,LEN(F34))</f>
        <v>0</v>
      </c>
      <c r="H34" s="6"/>
      <c r="I34" s="5" t="str">
        <f aca="false">IF(H34="","",LEN(H34))</f>
        <v/>
      </c>
      <c r="J34" s="5" t="str">
        <f aca="false">IF(H34="","",IF(LEN(H34)&gt;160,"Too long",IF(LEN(H34)&lt;140,"Too short","OK")))</f>
        <v/>
      </c>
      <c r="K34" s="5" t="s">
        <v>56</v>
      </c>
    </row>
    <row r="35" customFormat="false" ht="26.85" hidden="false" customHeight="false" outlineLevel="0" collapsed="false">
      <c r="A35" s="5" t="s">
        <v>231</v>
      </c>
      <c r="B35" s="5" t="s">
        <v>232</v>
      </c>
      <c r="C35" s="5" t="s">
        <v>215</v>
      </c>
      <c r="D35" s="5"/>
      <c r="E35" s="5" t="s">
        <v>233</v>
      </c>
      <c r="F35" s="5" t="s">
        <v>88</v>
      </c>
      <c r="G35" s="5" t="n">
        <f aca="false">IF(F35="(none)",0,LEN(F35))</f>
        <v>0</v>
      </c>
      <c r="H35" s="6"/>
      <c r="I35" s="5" t="str">
        <f aca="false">IF(H35="","",LEN(H35))</f>
        <v/>
      </c>
      <c r="J35" s="5" t="str">
        <f aca="false">IF(H35="","",IF(LEN(H35)&gt;160,"Too long",IF(LEN(H35)&lt;140,"Too short","OK")))</f>
        <v/>
      </c>
      <c r="K35" s="5" t="s">
        <v>56</v>
      </c>
    </row>
    <row r="36" customFormat="false" ht="26.85" hidden="false" customHeight="false" outlineLevel="0" collapsed="false">
      <c r="A36" s="5" t="s">
        <v>234</v>
      </c>
      <c r="B36" s="5" t="s">
        <v>235</v>
      </c>
      <c r="C36" s="5" t="s">
        <v>215</v>
      </c>
      <c r="D36" s="5"/>
      <c r="E36" s="5" t="s">
        <v>236</v>
      </c>
      <c r="F36" s="5" t="s">
        <v>88</v>
      </c>
      <c r="G36" s="5" t="n">
        <f aca="false">IF(F36="(none)",0,LEN(F36))</f>
        <v>0</v>
      </c>
      <c r="H36" s="6"/>
      <c r="I36" s="5" t="str">
        <f aca="false">IF(H36="","",LEN(H36))</f>
        <v/>
      </c>
      <c r="J36" s="5" t="str">
        <f aca="false">IF(H36="","",IF(LEN(H36)&gt;160,"Too long",IF(LEN(H36)&lt;140,"Too short","OK")))</f>
        <v/>
      </c>
      <c r="K36" s="5" t="s">
        <v>56</v>
      </c>
    </row>
    <row r="37" customFormat="false" ht="26.85" hidden="false" customHeight="false" outlineLevel="0" collapsed="false">
      <c r="A37" s="5" t="s">
        <v>237</v>
      </c>
      <c r="B37" s="5" t="s">
        <v>238</v>
      </c>
      <c r="C37" s="5" t="s">
        <v>215</v>
      </c>
      <c r="D37" s="5"/>
      <c r="E37" s="5" t="s">
        <v>239</v>
      </c>
      <c r="F37" s="5" t="s">
        <v>88</v>
      </c>
      <c r="G37" s="5" t="n">
        <f aca="false">IF(F37="(none)",0,LEN(F37))</f>
        <v>0</v>
      </c>
      <c r="H37" s="6"/>
      <c r="I37" s="5" t="str">
        <f aca="false">IF(H37="","",LEN(H37))</f>
        <v/>
      </c>
      <c r="J37" s="5" t="str">
        <f aca="false">IF(H37="","",IF(LEN(H37)&gt;160,"Too long",IF(LEN(H37)&lt;140,"Too short","OK")))</f>
        <v/>
      </c>
      <c r="K37" s="5" t="s">
        <v>56</v>
      </c>
    </row>
    <row r="38" customFormat="false" ht="26.85" hidden="false" customHeight="false" outlineLevel="0" collapsed="false">
      <c r="A38" s="5" t="s">
        <v>240</v>
      </c>
      <c r="B38" s="5" t="s">
        <v>241</v>
      </c>
      <c r="C38" s="5" t="s">
        <v>215</v>
      </c>
      <c r="D38" s="5"/>
      <c r="E38" s="5" t="s">
        <v>242</v>
      </c>
      <c r="F38" s="5" t="s">
        <v>88</v>
      </c>
      <c r="G38" s="5" t="n">
        <f aca="false">IF(F38="(none)",0,LEN(F38))</f>
        <v>0</v>
      </c>
      <c r="H38" s="6"/>
      <c r="I38" s="5" t="str">
        <f aca="false">IF(H38="","",LEN(H38))</f>
        <v/>
      </c>
      <c r="J38" s="5" t="str">
        <f aca="false">IF(H38="","",IF(LEN(H38)&gt;160,"Too long",IF(LEN(H38)&lt;140,"Too short","OK")))</f>
        <v/>
      </c>
      <c r="K38" s="5" t="s">
        <v>56</v>
      </c>
    </row>
    <row r="39" customFormat="false" ht="26.85" hidden="false" customHeight="false" outlineLevel="0" collapsed="false">
      <c r="A39" s="5" t="s">
        <v>243</v>
      </c>
      <c r="B39" s="5" t="s">
        <v>244</v>
      </c>
      <c r="C39" s="5" t="s">
        <v>215</v>
      </c>
      <c r="D39" s="5"/>
      <c r="E39" s="5" t="s">
        <v>245</v>
      </c>
      <c r="F39" s="5" t="s">
        <v>88</v>
      </c>
      <c r="G39" s="5" t="n">
        <f aca="false">IF(F39="(none)",0,LEN(F39))</f>
        <v>0</v>
      </c>
      <c r="H39" s="6"/>
      <c r="I39" s="5" t="str">
        <f aca="false">IF(H39="","",LEN(H39))</f>
        <v/>
      </c>
      <c r="J39" s="5" t="str">
        <f aca="false">IF(H39="","",IF(LEN(H39)&gt;160,"Too long",IF(LEN(H39)&lt;140,"Too short","OK")))</f>
        <v/>
      </c>
      <c r="K39" s="5" t="s">
        <v>56</v>
      </c>
    </row>
    <row r="40" customFormat="false" ht="26.85" hidden="false" customHeight="false" outlineLevel="0" collapsed="false">
      <c r="A40" s="5" t="s">
        <v>246</v>
      </c>
      <c r="B40" s="5" t="s">
        <v>247</v>
      </c>
      <c r="C40" s="5" t="s">
        <v>215</v>
      </c>
      <c r="D40" s="5"/>
      <c r="E40" s="5" t="s">
        <v>248</v>
      </c>
      <c r="F40" s="5" t="s">
        <v>88</v>
      </c>
      <c r="G40" s="5" t="n">
        <f aca="false">IF(F40="(none)",0,LEN(F40))</f>
        <v>0</v>
      </c>
      <c r="H40" s="6"/>
      <c r="I40" s="5" t="str">
        <f aca="false">IF(H40="","",LEN(H40))</f>
        <v/>
      </c>
      <c r="J40" s="5" t="str">
        <f aca="false">IF(H40="","",IF(LEN(H40)&gt;160,"Too long",IF(LEN(H40)&lt;140,"Too short","OK")))</f>
        <v/>
      </c>
      <c r="K40" s="5" t="s">
        <v>56</v>
      </c>
    </row>
    <row r="41" customFormat="false" ht="26.85" hidden="false" customHeight="false" outlineLevel="0" collapsed="false">
      <c r="A41" s="5" t="s">
        <v>249</v>
      </c>
      <c r="B41" s="5" t="s">
        <v>250</v>
      </c>
      <c r="C41" s="5" t="s">
        <v>215</v>
      </c>
      <c r="D41" s="5"/>
      <c r="E41" s="5" t="s">
        <v>251</v>
      </c>
      <c r="F41" s="5" t="s">
        <v>88</v>
      </c>
      <c r="G41" s="5" t="n">
        <f aca="false">IF(F41="(none)",0,LEN(F41))</f>
        <v>0</v>
      </c>
      <c r="H41" s="6"/>
      <c r="I41" s="5" t="str">
        <f aca="false">IF(H41="","",LEN(H41))</f>
        <v/>
      </c>
      <c r="J41" s="5" t="str">
        <f aca="false">IF(H41="","",IF(LEN(H41)&gt;160,"Too long",IF(LEN(H41)&lt;140,"Too short","OK")))</f>
        <v/>
      </c>
      <c r="K41" s="5" t="s">
        <v>56</v>
      </c>
    </row>
    <row r="42" customFormat="false" ht="26.85" hidden="false" customHeight="false" outlineLevel="0" collapsed="false">
      <c r="A42" s="5" t="s">
        <v>252</v>
      </c>
      <c r="B42" s="5" t="s">
        <v>253</v>
      </c>
      <c r="C42" s="5" t="s">
        <v>215</v>
      </c>
      <c r="D42" s="5"/>
      <c r="E42" s="5" t="s">
        <v>254</v>
      </c>
      <c r="F42" s="5" t="s">
        <v>88</v>
      </c>
      <c r="G42" s="5" t="n">
        <f aca="false">IF(F42="(none)",0,LEN(F42))</f>
        <v>0</v>
      </c>
      <c r="H42" s="6"/>
      <c r="I42" s="5" t="str">
        <f aca="false">IF(H42="","",LEN(H42))</f>
        <v/>
      </c>
      <c r="J42" s="5" t="str">
        <f aca="false">IF(H42="","",IF(LEN(H42)&gt;160,"Too long",IF(LEN(H42)&lt;140,"Too short","OK")))</f>
        <v/>
      </c>
      <c r="K42" s="5" t="s">
        <v>56</v>
      </c>
    </row>
    <row r="43" customFormat="false" ht="26.85" hidden="false" customHeight="false" outlineLevel="0" collapsed="false">
      <c r="A43" s="5" t="s">
        <v>255</v>
      </c>
      <c r="B43" s="5" t="s">
        <v>256</v>
      </c>
      <c r="C43" s="5" t="s">
        <v>215</v>
      </c>
      <c r="D43" s="5"/>
      <c r="E43" s="5" t="s">
        <v>257</v>
      </c>
      <c r="F43" s="5" t="s">
        <v>88</v>
      </c>
      <c r="G43" s="5" t="n">
        <f aca="false">IF(F43="(none)",0,LEN(F43))</f>
        <v>0</v>
      </c>
      <c r="H43" s="6"/>
      <c r="I43" s="5" t="str">
        <f aca="false">IF(H43="","",LEN(H43))</f>
        <v/>
      </c>
      <c r="J43" s="5" t="str">
        <f aca="false">IF(H43="","",IF(LEN(H43)&gt;160,"Too long",IF(LEN(H43)&lt;140,"Too short","OK")))</f>
        <v/>
      </c>
      <c r="K43" s="5" t="s">
        <v>56</v>
      </c>
    </row>
    <row r="44" customFormat="false" ht="26.85" hidden="false" customHeight="false" outlineLevel="0" collapsed="false">
      <c r="A44" s="5" t="s">
        <v>258</v>
      </c>
      <c r="B44" s="5" t="s">
        <v>259</v>
      </c>
      <c r="C44" s="5" t="s">
        <v>215</v>
      </c>
      <c r="D44" s="5"/>
      <c r="E44" s="5" t="s">
        <v>260</v>
      </c>
      <c r="F44" s="5" t="s">
        <v>88</v>
      </c>
      <c r="G44" s="5" t="n">
        <f aca="false">IF(F44="(none)",0,LEN(F44))</f>
        <v>0</v>
      </c>
      <c r="H44" s="6"/>
      <c r="I44" s="5" t="str">
        <f aca="false">IF(H44="","",LEN(H44))</f>
        <v/>
      </c>
      <c r="J44" s="5" t="str">
        <f aca="false">IF(H44="","",IF(LEN(H44)&gt;160,"Too long",IF(LEN(H44)&lt;140,"Too short","OK")))</f>
        <v/>
      </c>
      <c r="K44" s="5" t="s">
        <v>56</v>
      </c>
    </row>
    <row r="45" customFormat="false" ht="26.85" hidden="false" customHeight="false" outlineLevel="0" collapsed="false">
      <c r="A45" s="5" t="s">
        <v>261</v>
      </c>
      <c r="B45" s="5" t="s">
        <v>262</v>
      </c>
      <c r="C45" s="5" t="s">
        <v>215</v>
      </c>
      <c r="D45" s="5"/>
      <c r="E45" s="5" t="s">
        <v>263</v>
      </c>
      <c r="F45" s="5" t="s">
        <v>88</v>
      </c>
      <c r="G45" s="5" t="n">
        <f aca="false">IF(F45="(none)",0,LEN(F45))</f>
        <v>0</v>
      </c>
      <c r="H45" s="6"/>
      <c r="I45" s="5" t="str">
        <f aca="false">IF(H45="","",LEN(H45))</f>
        <v/>
      </c>
      <c r="J45" s="5" t="str">
        <f aca="false">IF(H45="","",IF(LEN(H45)&gt;160,"Too long",IF(LEN(H45)&lt;140,"Too short","OK")))</f>
        <v/>
      </c>
      <c r="K45" s="5" t="s">
        <v>56</v>
      </c>
    </row>
    <row r="46" customFormat="false" ht="15" hidden="false" customHeight="false" outlineLevel="0" collapsed="false">
      <c r="A46" s="5" t="s">
        <v>264</v>
      </c>
      <c r="B46" s="5" t="s">
        <v>265</v>
      </c>
      <c r="C46" s="5" t="s">
        <v>215</v>
      </c>
      <c r="D46" s="5"/>
      <c r="E46" s="5" t="s">
        <v>266</v>
      </c>
      <c r="F46" s="5" t="s">
        <v>267</v>
      </c>
      <c r="G46" s="5" t="n">
        <f aca="false">IF(F46="(none)",0,LEN(F46))</f>
        <v>4</v>
      </c>
      <c r="H46" s="6"/>
      <c r="I46" s="5" t="str">
        <f aca="false">IF(H46="","",LEN(H46))</f>
        <v/>
      </c>
      <c r="J46" s="5" t="str">
        <f aca="false">IF(H46="","",IF(LEN(H46)&gt;160,"Too long",IF(LEN(H46)&lt;140,"Too short","OK")))</f>
        <v/>
      </c>
      <c r="K46" s="5" t="s">
        <v>56</v>
      </c>
    </row>
    <row r="47" customFormat="false" ht="26.85" hidden="false" customHeight="false" outlineLevel="0" collapsed="false">
      <c r="A47" s="5" t="s">
        <v>268</v>
      </c>
      <c r="B47" s="5" t="s">
        <v>269</v>
      </c>
      <c r="C47" s="5" t="s">
        <v>215</v>
      </c>
      <c r="D47" s="5"/>
      <c r="E47" s="5" t="s">
        <v>270</v>
      </c>
      <c r="F47" s="5" t="s">
        <v>88</v>
      </c>
      <c r="G47" s="5" t="n">
        <f aca="false">IF(F47="(none)",0,LEN(F47))</f>
        <v>0</v>
      </c>
      <c r="H47" s="6"/>
      <c r="I47" s="5" t="str">
        <f aca="false">IF(H47="","",LEN(H47))</f>
        <v/>
      </c>
      <c r="J47" s="5" t="str">
        <f aca="false">IF(H47="","",IF(LEN(H47)&gt;160,"Too long",IF(LEN(H47)&lt;140,"Too short","OK")))</f>
        <v/>
      </c>
      <c r="K47" s="5" t="s">
        <v>56</v>
      </c>
    </row>
    <row r="48" customFormat="false" ht="26.85" hidden="false" customHeight="false" outlineLevel="0" collapsed="false">
      <c r="A48" s="5" t="s">
        <v>271</v>
      </c>
      <c r="B48" s="5" t="s">
        <v>272</v>
      </c>
      <c r="C48" s="5" t="s">
        <v>215</v>
      </c>
      <c r="D48" s="5"/>
      <c r="E48" s="5" t="s">
        <v>273</v>
      </c>
      <c r="F48" s="5" t="s">
        <v>88</v>
      </c>
      <c r="G48" s="5" t="n">
        <f aca="false">IF(F48="(none)",0,LEN(F48))</f>
        <v>0</v>
      </c>
      <c r="H48" s="6"/>
      <c r="I48" s="5" t="str">
        <f aca="false">IF(H48="","",LEN(H48))</f>
        <v/>
      </c>
      <c r="J48" s="5" t="str">
        <f aca="false">IF(H48="","",IF(LEN(H48)&gt;160,"Too long",IF(LEN(H48)&lt;140,"Too short","OK")))</f>
        <v/>
      </c>
      <c r="K48" s="5" t="s">
        <v>56</v>
      </c>
    </row>
  </sheetData>
  <autoFilter ref="A1:K48"/>
  <conditionalFormatting sqref="J2:J48">
    <cfRule type="expression" priority="2" aboveAverage="0" equalAverage="0" bottom="0" percent="0" rank="0" text="" dxfId="6">
      <formula>J2="OK"</formula>
    </cfRule>
    <cfRule type="expression" priority="3" aboveAverage="0" equalAverage="0" bottom="0" percent="0" rank="0" text="" dxfId="7">
      <formula>OR(J2="Too long",J2="Too short")</formula>
    </cfRule>
  </conditionalFormatting>
  <dataValidations count="2">
    <dataValidation allowBlank="true" errorStyle="stop" operator="between" showDropDown="false" showErrorMessage="false" showInputMessage="false" sqref="K2:K48" type="list">
      <formula1>"Not started,Draft,Ready,Needs fix,Live"</formula1>
      <formula2>0</formula2>
    </dataValidation>
    <dataValidation allowBlank="true" errorStyle="stop" operator="between" showDropDown="false" showErrorMessage="false" showInputMessage="false" sqref="D2:D48" type="list">
      <formula1>"Keep,Remove,Redirect,Hide"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46"/>
    <col collapsed="false" customWidth="true" hidden="false" outlineLevel="0" max="7" min="7" style="0" width="8"/>
    <col collapsed="false" customWidth="true" hidden="false" outlineLevel="0" max="8" min="8" style="0" width="60"/>
    <col collapsed="false" customWidth="true" hidden="false" outlineLevel="0" max="9" min="9" style="0" width="10"/>
    <col collapsed="false" customWidth="true" hidden="false" outlineLevel="0" max="10" min="10" style="0" width="46"/>
    <col collapsed="false" customWidth="true" hidden="false" outlineLevel="0" max="11" min="11" style="0" width="8"/>
    <col collapsed="false" customWidth="true" hidden="false" outlineLevel="0" max="12" min="12" style="0" width="10"/>
    <col collapsed="false" customWidth="true" hidden="false" outlineLevel="0" max="13" min="13" style="0" width="60"/>
    <col collapsed="false" customWidth="true" hidden="false" outlineLevel="0" max="14" min="14" style="0" width="8"/>
    <col collapsed="false" customWidth="true" hidden="false" outlineLevel="0" max="15" min="15" style="0" width="10"/>
    <col collapsed="false" customWidth="true" hidden="false" outlineLevel="0" max="16" min="16" style="0" width="13"/>
  </cols>
  <sheetData>
    <row r="1" customFormat="false" ht="31.5" hidden="false" customHeight="true" outlineLevel="0" collapsed="false">
      <c r="A1" s="4" t="s">
        <v>274</v>
      </c>
      <c r="B1" s="4" t="s">
        <v>21</v>
      </c>
      <c r="C1" s="4" t="s">
        <v>275</v>
      </c>
      <c r="D1" s="4" t="s">
        <v>276</v>
      </c>
      <c r="E1" s="4" t="s">
        <v>277</v>
      </c>
      <c r="F1" s="4" t="s">
        <v>77</v>
      </c>
      <c r="G1" s="4" t="s">
        <v>278</v>
      </c>
      <c r="H1" s="4" t="s">
        <v>79</v>
      </c>
      <c r="I1" s="4" t="s">
        <v>279</v>
      </c>
      <c r="J1" s="4" t="s">
        <v>80</v>
      </c>
      <c r="K1" s="4" t="s">
        <v>81</v>
      </c>
      <c r="L1" s="4" t="s">
        <v>82</v>
      </c>
      <c r="M1" s="4" t="s">
        <v>83</v>
      </c>
      <c r="N1" s="4" t="s">
        <v>81</v>
      </c>
      <c r="O1" s="4" t="s">
        <v>82</v>
      </c>
      <c r="P1" s="4" t="s">
        <v>38</v>
      </c>
    </row>
    <row r="2" customFormat="false" ht="39.55" hidden="false" customHeight="false" outlineLevel="0" collapsed="false">
      <c r="A2" s="5" t="s">
        <v>280</v>
      </c>
      <c r="B2" s="5" t="s">
        <v>281</v>
      </c>
      <c r="C2" s="5"/>
      <c r="D2" s="5" t="str">
        <f aca="false">IF(AND(I2=0,G2&lt;35),"Title and description",IF(I2=0,"Description",IF(G2&lt;35,"Title",IF(OR(G2&gt;60,I2&gt;160),"Too long: trim","Nothing — keep"))))</f>
        <v>Title</v>
      </c>
      <c r="E2" s="5" t="s">
        <v>51</v>
      </c>
      <c r="F2" s="5" t="s">
        <v>282</v>
      </c>
      <c r="G2" s="5" t="n">
        <f aca="false">LEN(F2)</f>
        <v>20</v>
      </c>
      <c r="H2" s="5" t="s">
        <v>283</v>
      </c>
      <c r="I2" s="5" t="n">
        <f aca="false">IF(H2="(none)",0,LEN(H2))</f>
        <v>152</v>
      </c>
      <c r="J2" s="6"/>
      <c r="K2" s="5" t="str">
        <f aca="false">IF(J2="","",LEN(J2))</f>
        <v/>
      </c>
      <c r="L2" s="5" t="str">
        <f aca="false">IF(J2="","",IF(LEN(J2)&gt;60,"Too long",IF(LEN(J2)&lt;50,"Too short","OK")))</f>
        <v/>
      </c>
      <c r="M2" s="6"/>
      <c r="N2" s="5" t="str">
        <f aca="false">IF(M2="","",LEN(M2))</f>
        <v/>
      </c>
      <c r="O2" s="5" t="str">
        <f aca="false">IF(M2="","",IF(LEN(M2)&gt;160,"Too long",IF(LEN(M2)&lt;140,"Too short","OK")))</f>
        <v/>
      </c>
      <c r="P2" s="5" t="s">
        <v>56</v>
      </c>
    </row>
    <row r="3" customFormat="false" ht="39.55" hidden="false" customHeight="false" outlineLevel="0" collapsed="false">
      <c r="A3" s="5" t="s">
        <v>284</v>
      </c>
      <c r="B3" s="5" t="s">
        <v>285</v>
      </c>
      <c r="C3" s="5"/>
      <c r="D3" s="5" t="str">
        <f aca="false">IF(AND(I3=0,G3&lt;35),"Title and description",IF(I3=0,"Description",IF(G3&lt;35,"Title",IF(OR(G3&gt;60,I3&gt;160),"Too long: trim","Nothing — keep"))))</f>
        <v>Too long: trim</v>
      </c>
      <c r="E3" s="5" t="s">
        <v>51</v>
      </c>
      <c r="F3" s="5" t="s">
        <v>286</v>
      </c>
      <c r="G3" s="5" t="n">
        <f aca="false">LEN(F3)</f>
        <v>62</v>
      </c>
      <c r="H3" s="5" t="s">
        <v>287</v>
      </c>
      <c r="I3" s="5" t="n">
        <f aca="false">IF(H3="(none)",0,LEN(H3))</f>
        <v>167</v>
      </c>
      <c r="J3" s="6"/>
      <c r="K3" s="5" t="str">
        <f aca="false">IF(J3="","",LEN(J3))</f>
        <v/>
      </c>
      <c r="L3" s="5" t="str">
        <f aca="false">IF(J3="","",IF(LEN(J3)&gt;60,"Too long",IF(LEN(J3)&lt;50,"Too short","OK")))</f>
        <v/>
      </c>
      <c r="M3" s="6"/>
      <c r="N3" s="5" t="str">
        <f aca="false">IF(M3="","",LEN(M3))</f>
        <v/>
      </c>
      <c r="O3" s="5" t="str">
        <f aca="false">IF(M3="","",IF(LEN(M3)&gt;160,"Too long",IF(LEN(M3)&lt;140,"Too short","OK")))</f>
        <v/>
      </c>
      <c r="P3" s="5" t="s">
        <v>56</v>
      </c>
    </row>
    <row r="4" customFormat="false" ht="39.55" hidden="false" customHeight="false" outlineLevel="0" collapsed="false">
      <c r="A4" s="5" t="s">
        <v>288</v>
      </c>
      <c r="B4" s="5" t="s">
        <v>289</v>
      </c>
      <c r="C4" s="5"/>
      <c r="D4" s="5" t="str">
        <f aca="false">IF(AND(I4=0,G4&lt;35),"Title and description",IF(I4=0,"Description",IF(G4&lt;35,"Title",IF(OR(G4&gt;60,I4&gt;160),"Too long: trim","Nothing — keep"))))</f>
        <v>Too long: trim</v>
      </c>
      <c r="E4" s="5" t="s">
        <v>51</v>
      </c>
      <c r="F4" s="5" t="s">
        <v>290</v>
      </c>
      <c r="G4" s="5" t="n">
        <f aca="false">LEN(F4)</f>
        <v>63</v>
      </c>
      <c r="H4" s="5" t="s">
        <v>291</v>
      </c>
      <c r="I4" s="5" t="n">
        <f aca="false">IF(H4="(none)",0,LEN(H4))</f>
        <v>157</v>
      </c>
      <c r="J4" s="6"/>
      <c r="K4" s="5" t="str">
        <f aca="false">IF(J4="","",LEN(J4))</f>
        <v/>
      </c>
      <c r="L4" s="5" t="str">
        <f aca="false">IF(J4="","",IF(LEN(J4)&gt;60,"Too long",IF(LEN(J4)&lt;50,"Too short","OK")))</f>
        <v/>
      </c>
      <c r="M4" s="6"/>
      <c r="N4" s="5" t="str">
        <f aca="false">IF(M4="","",LEN(M4))</f>
        <v/>
      </c>
      <c r="O4" s="5" t="str">
        <f aca="false">IF(M4="","",IF(LEN(M4)&gt;160,"Too long",IF(LEN(M4)&lt;140,"Too short","OK")))</f>
        <v/>
      </c>
      <c r="P4" s="5" t="s">
        <v>56</v>
      </c>
    </row>
    <row r="5" customFormat="false" ht="39.55" hidden="false" customHeight="false" outlineLevel="0" collapsed="false">
      <c r="A5" s="5" t="s">
        <v>292</v>
      </c>
      <c r="B5" s="5" t="s">
        <v>293</v>
      </c>
      <c r="C5" s="5"/>
      <c r="D5" s="5" t="str">
        <f aca="false">IF(AND(I5=0,G5&lt;35),"Title and description",IF(I5=0,"Description",IF(G5&lt;35,"Title",IF(OR(G5&gt;60,I5&gt;160),"Too long: trim","Nothing — keep"))))</f>
        <v>Too long: trim</v>
      </c>
      <c r="E5" s="5" t="s">
        <v>51</v>
      </c>
      <c r="F5" s="5" t="s">
        <v>294</v>
      </c>
      <c r="G5" s="5" t="n">
        <f aca="false">LEN(F5)</f>
        <v>65</v>
      </c>
      <c r="H5" s="5" t="s">
        <v>295</v>
      </c>
      <c r="I5" s="5" t="n">
        <f aca="false">IF(H5="(none)",0,LEN(H5))</f>
        <v>147</v>
      </c>
      <c r="J5" s="6"/>
      <c r="K5" s="5" t="str">
        <f aca="false">IF(J5="","",LEN(J5))</f>
        <v/>
      </c>
      <c r="L5" s="5" t="str">
        <f aca="false">IF(J5="","",IF(LEN(J5)&gt;60,"Too long",IF(LEN(J5)&lt;50,"Too short","OK")))</f>
        <v/>
      </c>
      <c r="M5" s="6"/>
      <c r="N5" s="5" t="str">
        <f aca="false">IF(M5="","",LEN(M5))</f>
        <v/>
      </c>
      <c r="O5" s="5" t="str">
        <f aca="false">IF(M5="","",IF(LEN(M5)&gt;160,"Too long",IF(LEN(M5)&lt;140,"Too short","OK")))</f>
        <v/>
      </c>
      <c r="P5" s="5" t="s">
        <v>56</v>
      </c>
    </row>
    <row r="6" customFormat="false" ht="39.55" hidden="false" customHeight="false" outlineLevel="0" collapsed="false">
      <c r="A6" s="5" t="s">
        <v>296</v>
      </c>
      <c r="B6" s="5" t="s">
        <v>297</v>
      </c>
      <c r="C6" s="5"/>
      <c r="D6" s="5" t="str">
        <f aca="false">IF(AND(I6=0,G6&lt;35),"Title and description",IF(I6=0,"Description",IF(G6&lt;35,"Title",IF(OR(G6&gt;60,I6&gt;160),"Too long: trim","Nothing — keep"))))</f>
        <v>Nothing — keep</v>
      </c>
      <c r="E6" s="5" t="s">
        <v>51</v>
      </c>
      <c r="F6" s="5" t="s">
        <v>298</v>
      </c>
      <c r="G6" s="5" t="n">
        <f aca="false">LEN(F6)</f>
        <v>51</v>
      </c>
      <c r="H6" s="5" t="s">
        <v>299</v>
      </c>
      <c r="I6" s="5" t="n">
        <f aca="false">IF(H6="(none)",0,LEN(H6))</f>
        <v>160</v>
      </c>
      <c r="J6" s="6"/>
      <c r="K6" s="5" t="str">
        <f aca="false">IF(J6="","",LEN(J6))</f>
        <v/>
      </c>
      <c r="L6" s="5" t="str">
        <f aca="false">IF(J6="","",IF(LEN(J6)&gt;60,"Too long",IF(LEN(J6)&lt;50,"Too short","OK")))</f>
        <v/>
      </c>
      <c r="M6" s="6"/>
      <c r="N6" s="5" t="str">
        <f aca="false">IF(M6="","",LEN(M6))</f>
        <v/>
      </c>
      <c r="O6" s="5" t="str">
        <f aca="false">IF(M6="","",IF(LEN(M6)&gt;160,"Too long",IF(LEN(M6)&lt;140,"Too short","OK")))</f>
        <v/>
      </c>
      <c r="P6" s="5" t="s">
        <v>56</v>
      </c>
    </row>
    <row r="7" customFormat="false" ht="39.55" hidden="false" customHeight="false" outlineLevel="0" collapsed="false">
      <c r="A7" s="5" t="s">
        <v>300</v>
      </c>
      <c r="B7" s="5" t="s">
        <v>301</v>
      </c>
      <c r="C7" s="5"/>
      <c r="D7" s="5" t="str">
        <f aca="false">IF(AND(I7=0,G7&lt;35),"Title and description",IF(I7=0,"Description",IF(G7&lt;35,"Title",IF(OR(G7&gt;60,I7&gt;160),"Too long: trim","Nothing — keep"))))</f>
        <v>Too long: trim</v>
      </c>
      <c r="E7" s="5" t="s">
        <v>51</v>
      </c>
      <c r="F7" s="5" t="s">
        <v>302</v>
      </c>
      <c r="G7" s="5" t="n">
        <f aca="false">LEN(F7)</f>
        <v>73</v>
      </c>
      <c r="H7" s="5" t="s">
        <v>303</v>
      </c>
      <c r="I7" s="5" t="n">
        <f aca="false">IF(H7="(none)",0,LEN(H7))</f>
        <v>158</v>
      </c>
      <c r="J7" s="6"/>
      <c r="K7" s="5" t="str">
        <f aca="false">IF(J7="","",LEN(J7))</f>
        <v/>
      </c>
      <c r="L7" s="5" t="str">
        <f aca="false">IF(J7="","",IF(LEN(J7)&gt;60,"Too long",IF(LEN(J7)&lt;50,"Too short","OK")))</f>
        <v/>
      </c>
      <c r="M7" s="6"/>
      <c r="N7" s="5" t="str">
        <f aca="false">IF(M7="","",LEN(M7))</f>
        <v/>
      </c>
      <c r="O7" s="5" t="str">
        <f aca="false">IF(M7="","",IF(LEN(M7)&gt;160,"Too long",IF(LEN(M7)&lt;140,"Too short","OK")))</f>
        <v/>
      </c>
      <c r="P7" s="5" t="s">
        <v>56</v>
      </c>
    </row>
    <row r="8" customFormat="false" ht="39.55" hidden="false" customHeight="false" outlineLevel="0" collapsed="false">
      <c r="A8" s="5" t="s">
        <v>304</v>
      </c>
      <c r="B8" s="5" t="s">
        <v>305</v>
      </c>
      <c r="C8" s="5"/>
      <c r="D8" s="5" t="str">
        <f aca="false">IF(AND(I8=0,G8&lt;35),"Title and description",IF(I8=0,"Description",IF(G8&lt;35,"Title",IF(OR(G8&gt;60,I8&gt;160),"Too long: trim","Nothing — keep"))))</f>
        <v>Nothing — keep</v>
      </c>
      <c r="E8" s="5" t="s">
        <v>51</v>
      </c>
      <c r="F8" s="5" t="s">
        <v>306</v>
      </c>
      <c r="G8" s="5" t="n">
        <f aca="false">LEN(F8)</f>
        <v>53</v>
      </c>
      <c r="H8" s="5" t="s">
        <v>307</v>
      </c>
      <c r="I8" s="5" t="n">
        <f aca="false">IF(H8="(none)",0,LEN(H8))</f>
        <v>157</v>
      </c>
      <c r="J8" s="6"/>
      <c r="K8" s="5" t="str">
        <f aca="false">IF(J8="","",LEN(J8))</f>
        <v/>
      </c>
      <c r="L8" s="5" t="str">
        <f aca="false">IF(J8="","",IF(LEN(J8)&gt;60,"Too long",IF(LEN(J8)&lt;50,"Too short","OK")))</f>
        <v/>
      </c>
      <c r="M8" s="6"/>
      <c r="N8" s="5" t="str">
        <f aca="false">IF(M8="","",LEN(M8))</f>
        <v/>
      </c>
      <c r="O8" s="5" t="str">
        <f aca="false">IF(M8="","",IF(LEN(M8)&gt;160,"Too long",IF(LEN(M8)&lt;140,"Too short","OK")))</f>
        <v/>
      </c>
      <c r="P8" s="5" t="s">
        <v>56</v>
      </c>
    </row>
    <row r="9" customFormat="false" ht="39.55" hidden="false" customHeight="false" outlineLevel="0" collapsed="false">
      <c r="A9" s="5" t="s">
        <v>308</v>
      </c>
      <c r="B9" s="5" t="s">
        <v>309</v>
      </c>
      <c r="C9" s="5"/>
      <c r="D9" s="5" t="str">
        <f aca="false">IF(AND(I9=0,G9&lt;35),"Title and description",IF(I9=0,"Description",IF(G9&lt;35,"Title",IF(OR(G9&gt;60,I9&gt;160),"Too long: trim","Nothing — keep"))))</f>
        <v>Title</v>
      </c>
      <c r="E9" s="5" t="s">
        <v>51</v>
      </c>
      <c r="F9" s="5" t="s">
        <v>310</v>
      </c>
      <c r="G9" s="5" t="n">
        <f aca="false">LEN(F9)</f>
        <v>28</v>
      </c>
      <c r="H9" s="5" t="s">
        <v>311</v>
      </c>
      <c r="I9" s="5" t="n">
        <f aca="false">IF(H9="(none)",0,LEN(H9))</f>
        <v>159</v>
      </c>
      <c r="J9" s="6"/>
      <c r="K9" s="5" t="str">
        <f aca="false">IF(J9="","",LEN(J9))</f>
        <v/>
      </c>
      <c r="L9" s="5" t="str">
        <f aca="false">IF(J9="","",IF(LEN(J9)&gt;60,"Too long",IF(LEN(J9)&lt;50,"Too short","OK")))</f>
        <v/>
      </c>
      <c r="M9" s="6"/>
      <c r="N9" s="5" t="str">
        <f aca="false">IF(M9="","",LEN(M9))</f>
        <v/>
      </c>
      <c r="O9" s="5" t="str">
        <f aca="false">IF(M9="","",IF(LEN(M9)&gt;160,"Too long",IF(LEN(M9)&lt;140,"Too short","OK")))</f>
        <v/>
      </c>
      <c r="P9" s="5" t="s">
        <v>56</v>
      </c>
    </row>
    <row r="10" customFormat="false" ht="39.55" hidden="false" customHeight="false" outlineLevel="0" collapsed="false">
      <c r="A10" s="5" t="s">
        <v>312</v>
      </c>
      <c r="B10" s="5" t="s">
        <v>313</v>
      </c>
      <c r="C10" s="5"/>
      <c r="D10" s="5" t="str">
        <f aca="false">IF(AND(I10=0,G10&lt;35),"Title and description",IF(I10=0,"Description",IF(G10&lt;35,"Title",IF(OR(G10&gt;60,I10&gt;160),"Too long: trim","Nothing — keep"))))</f>
        <v>Nothing — keep</v>
      </c>
      <c r="E10" s="5" t="s">
        <v>51</v>
      </c>
      <c r="F10" s="5" t="s">
        <v>314</v>
      </c>
      <c r="G10" s="5" t="n">
        <f aca="false">LEN(F10)</f>
        <v>58</v>
      </c>
      <c r="H10" s="5" t="s">
        <v>315</v>
      </c>
      <c r="I10" s="5" t="n">
        <f aca="false">IF(H10="(none)",0,LEN(H10))</f>
        <v>141</v>
      </c>
      <c r="J10" s="6"/>
      <c r="K10" s="5" t="str">
        <f aca="false">IF(J10="","",LEN(J10))</f>
        <v/>
      </c>
      <c r="L10" s="5" t="str">
        <f aca="false">IF(J10="","",IF(LEN(J10)&gt;60,"Too long",IF(LEN(J10)&lt;50,"Too short","OK")))</f>
        <v/>
      </c>
      <c r="M10" s="6"/>
      <c r="N10" s="5" t="str">
        <f aca="false">IF(M10="","",LEN(M10))</f>
        <v/>
      </c>
      <c r="O10" s="5" t="str">
        <f aca="false">IF(M10="","",IF(LEN(M10)&gt;160,"Too long",IF(LEN(M10)&lt;140,"Too short","OK")))</f>
        <v/>
      </c>
      <c r="P10" s="5" t="s">
        <v>56</v>
      </c>
    </row>
    <row r="11" customFormat="false" ht="26.85" hidden="false" customHeight="false" outlineLevel="0" collapsed="false">
      <c r="A11" s="5" t="s">
        <v>316</v>
      </c>
      <c r="B11" s="5" t="s">
        <v>317</v>
      </c>
      <c r="C11" s="5"/>
      <c r="D11" s="5" t="str">
        <f aca="false">IF(AND(I11=0,G11&lt;35),"Title and description",IF(I11=0,"Description",IF(G11&lt;35,"Title",IF(OR(G11&gt;60,I11&gt;160),"Too long: trim","Nothing — keep"))))</f>
        <v>Too long: trim</v>
      </c>
      <c r="E11" s="5" t="s">
        <v>51</v>
      </c>
      <c r="F11" s="5" t="s">
        <v>318</v>
      </c>
      <c r="G11" s="5" t="n">
        <f aca="false">LEN(F11)</f>
        <v>69</v>
      </c>
      <c r="H11" s="5" t="s">
        <v>319</v>
      </c>
      <c r="I11" s="5" t="n">
        <f aca="false">IF(H11="(none)",0,LEN(H11))</f>
        <v>125</v>
      </c>
      <c r="J11" s="6"/>
      <c r="K11" s="5" t="str">
        <f aca="false">IF(J11="","",LEN(J11))</f>
        <v/>
      </c>
      <c r="L11" s="5" t="str">
        <f aca="false">IF(J11="","",IF(LEN(J11)&gt;60,"Too long",IF(LEN(J11)&lt;50,"Too short","OK")))</f>
        <v/>
      </c>
      <c r="M11" s="6"/>
      <c r="N11" s="5" t="str">
        <f aca="false">IF(M11="","",LEN(M11))</f>
        <v/>
      </c>
      <c r="O11" s="5" t="str">
        <f aca="false">IF(M11="","",IF(LEN(M11)&gt;160,"Too long",IF(LEN(M11)&lt;140,"Too short","OK")))</f>
        <v/>
      </c>
      <c r="P11" s="5" t="s">
        <v>56</v>
      </c>
    </row>
    <row r="12" customFormat="false" ht="26.85" hidden="false" customHeight="false" outlineLevel="0" collapsed="false">
      <c r="A12" s="5" t="s">
        <v>320</v>
      </c>
      <c r="B12" s="5" t="s">
        <v>321</v>
      </c>
      <c r="C12" s="5"/>
      <c r="D12" s="5" t="str">
        <f aca="false">IF(AND(I12=0,G12&lt;35),"Title and description",IF(I12=0,"Description",IF(G12&lt;35,"Title",IF(OR(G12&gt;60,I12&gt;160),"Too long: trim","Nothing — keep"))))</f>
        <v>Title and description</v>
      </c>
      <c r="E12" s="5" t="s">
        <v>51</v>
      </c>
      <c r="F12" s="5" t="s">
        <v>322</v>
      </c>
      <c r="G12" s="5" t="n">
        <f aca="false">LEN(F12)</f>
        <v>27</v>
      </c>
      <c r="H12" s="5" t="s">
        <v>88</v>
      </c>
      <c r="I12" s="5" t="n">
        <f aca="false">IF(H12="(none)",0,LEN(H12))</f>
        <v>0</v>
      </c>
      <c r="J12" s="6"/>
      <c r="K12" s="5" t="str">
        <f aca="false">IF(J12="","",LEN(J12))</f>
        <v/>
      </c>
      <c r="L12" s="5" t="str">
        <f aca="false">IF(J12="","",IF(LEN(J12)&gt;60,"Too long",IF(LEN(J12)&lt;50,"Too short","OK")))</f>
        <v/>
      </c>
      <c r="M12" s="6"/>
      <c r="N12" s="5" t="str">
        <f aca="false">IF(M12="","",LEN(M12))</f>
        <v/>
      </c>
      <c r="O12" s="5" t="str">
        <f aca="false">IF(M12="","",IF(LEN(M12)&gt;160,"Too long",IF(LEN(M12)&lt;140,"Too short","OK")))</f>
        <v/>
      </c>
      <c r="P12" s="5" t="s">
        <v>56</v>
      </c>
    </row>
    <row r="13" customFormat="false" ht="39.55" hidden="false" customHeight="false" outlineLevel="0" collapsed="false">
      <c r="A13" s="5" t="s">
        <v>323</v>
      </c>
      <c r="B13" s="5" t="s">
        <v>324</v>
      </c>
      <c r="C13" s="5"/>
      <c r="D13" s="5" t="str">
        <f aca="false">IF(AND(I13=0,G13&lt;35),"Title and description",IF(I13=0,"Description",IF(G13&lt;35,"Title",IF(OR(G13&gt;60,I13&gt;160),"Too long: trim","Nothing — keep"))))</f>
        <v>Too long: trim</v>
      </c>
      <c r="E13" s="5" t="s">
        <v>51</v>
      </c>
      <c r="F13" s="5" t="s">
        <v>325</v>
      </c>
      <c r="G13" s="5" t="n">
        <f aca="false">LEN(F13)</f>
        <v>60</v>
      </c>
      <c r="H13" s="5" t="s">
        <v>326</v>
      </c>
      <c r="I13" s="5" t="n">
        <f aca="false">IF(H13="(none)",0,LEN(H13))</f>
        <v>175</v>
      </c>
      <c r="J13" s="6"/>
      <c r="K13" s="5" t="str">
        <f aca="false">IF(J13="","",LEN(J13))</f>
        <v/>
      </c>
      <c r="L13" s="5" t="str">
        <f aca="false">IF(J13="","",IF(LEN(J13)&gt;60,"Too long",IF(LEN(J13)&lt;50,"Too short","OK")))</f>
        <v/>
      </c>
      <c r="M13" s="6"/>
      <c r="N13" s="5" t="str">
        <f aca="false">IF(M13="","",LEN(M13))</f>
        <v/>
      </c>
      <c r="O13" s="5" t="str">
        <f aca="false">IF(M13="","",IF(LEN(M13)&gt;160,"Too long",IF(LEN(M13)&lt;140,"Too short","OK")))</f>
        <v/>
      </c>
      <c r="P13" s="5" t="s">
        <v>56</v>
      </c>
    </row>
    <row r="14" customFormat="false" ht="39.55" hidden="false" customHeight="false" outlineLevel="0" collapsed="false">
      <c r="A14" s="5" t="s">
        <v>327</v>
      </c>
      <c r="B14" s="5" t="s">
        <v>328</v>
      </c>
      <c r="C14" s="5"/>
      <c r="D14" s="5" t="str">
        <f aca="false">IF(AND(I14=0,G14&lt;35),"Title and description",IF(I14=0,"Description",IF(G14&lt;35,"Title",IF(OR(G14&gt;60,I14&gt;160),"Too long: trim","Nothing — keep"))))</f>
        <v>Too long: trim</v>
      </c>
      <c r="E14" s="5" t="s">
        <v>51</v>
      </c>
      <c r="F14" s="5" t="s">
        <v>329</v>
      </c>
      <c r="G14" s="5" t="n">
        <f aca="false">LEN(F14)</f>
        <v>77</v>
      </c>
      <c r="H14" s="5" t="s">
        <v>330</v>
      </c>
      <c r="I14" s="5" t="n">
        <f aca="false">IF(H14="(none)",0,LEN(H14))</f>
        <v>150</v>
      </c>
      <c r="J14" s="6"/>
      <c r="K14" s="5" t="str">
        <f aca="false">IF(J14="","",LEN(J14))</f>
        <v/>
      </c>
      <c r="L14" s="5" t="str">
        <f aca="false">IF(J14="","",IF(LEN(J14)&gt;60,"Too long",IF(LEN(J14)&lt;50,"Too short","OK")))</f>
        <v/>
      </c>
      <c r="M14" s="6"/>
      <c r="N14" s="5" t="str">
        <f aca="false">IF(M14="","",LEN(M14))</f>
        <v/>
      </c>
      <c r="O14" s="5" t="str">
        <f aca="false">IF(M14="","",IF(LEN(M14)&gt;160,"Too long",IF(LEN(M14)&lt;140,"Too short","OK")))</f>
        <v/>
      </c>
      <c r="P14" s="5" t="s">
        <v>56</v>
      </c>
    </row>
    <row r="15" customFormat="false" ht="39.55" hidden="false" customHeight="false" outlineLevel="0" collapsed="false">
      <c r="A15" s="5" t="s">
        <v>331</v>
      </c>
      <c r="B15" s="5" t="s">
        <v>332</v>
      </c>
      <c r="C15" s="5"/>
      <c r="D15" s="5" t="str">
        <f aca="false">IF(AND(I15=0,G15&lt;35),"Title and description",IF(I15=0,"Description",IF(G15&lt;35,"Title",IF(OR(G15&gt;60,I15&gt;160),"Too long: trim","Nothing — keep"))))</f>
        <v>Nothing — keep</v>
      </c>
      <c r="E15" s="5" t="s">
        <v>333</v>
      </c>
      <c r="F15" s="5" t="s">
        <v>334</v>
      </c>
      <c r="G15" s="5" t="n">
        <f aca="false">LEN(F15)</f>
        <v>44</v>
      </c>
      <c r="H15" s="5" t="s">
        <v>335</v>
      </c>
      <c r="I15" s="5" t="n">
        <f aca="false">IF(H15="(none)",0,LEN(H15))</f>
        <v>154</v>
      </c>
      <c r="J15" s="6"/>
      <c r="K15" s="5" t="str">
        <f aca="false">IF(J15="","",LEN(J15))</f>
        <v/>
      </c>
      <c r="L15" s="5" t="str">
        <f aca="false">IF(J15="","",IF(LEN(J15)&gt;60,"Too long",IF(LEN(J15)&lt;50,"Too short","OK")))</f>
        <v/>
      </c>
      <c r="M15" s="6"/>
      <c r="N15" s="5" t="str">
        <f aca="false">IF(M15="","",LEN(M15))</f>
        <v/>
      </c>
      <c r="O15" s="5" t="str">
        <f aca="false">IF(M15="","",IF(LEN(M15)&gt;160,"Too long",IF(LEN(M15)&lt;140,"Too short","OK")))</f>
        <v/>
      </c>
      <c r="P15" s="5" t="s">
        <v>56</v>
      </c>
    </row>
    <row r="16" customFormat="false" ht="39.55" hidden="false" customHeight="false" outlineLevel="0" collapsed="false">
      <c r="A16" s="5" t="s">
        <v>336</v>
      </c>
      <c r="B16" s="5" t="s">
        <v>337</v>
      </c>
      <c r="C16" s="5"/>
      <c r="D16" s="5" t="str">
        <f aca="false">IF(AND(I16=0,G16&lt;35),"Title and description",IF(I16=0,"Description",IF(G16&lt;35,"Title",IF(OR(G16&gt;60,I16&gt;160),"Too long: trim","Nothing — keep"))))</f>
        <v>Too long: trim</v>
      </c>
      <c r="E16" s="5" t="s">
        <v>51</v>
      </c>
      <c r="F16" s="5" t="s">
        <v>338</v>
      </c>
      <c r="G16" s="5" t="n">
        <f aca="false">LEN(F16)</f>
        <v>61</v>
      </c>
      <c r="H16" s="5" t="s">
        <v>339</v>
      </c>
      <c r="I16" s="5" t="n">
        <f aca="false">IF(H16="(none)",0,LEN(H16))</f>
        <v>178</v>
      </c>
      <c r="J16" s="6"/>
      <c r="K16" s="5" t="str">
        <f aca="false">IF(J16="","",LEN(J16))</f>
        <v/>
      </c>
      <c r="L16" s="5" t="str">
        <f aca="false">IF(J16="","",IF(LEN(J16)&gt;60,"Too long",IF(LEN(J16)&lt;50,"Too short","OK")))</f>
        <v/>
      </c>
      <c r="M16" s="6"/>
      <c r="N16" s="5" t="str">
        <f aca="false">IF(M16="","",LEN(M16))</f>
        <v/>
      </c>
      <c r="O16" s="5" t="str">
        <f aca="false">IF(M16="","",IF(LEN(M16)&gt;160,"Too long",IF(LEN(M16)&lt;140,"Too short","OK")))</f>
        <v/>
      </c>
      <c r="P16" s="5" t="s">
        <v>56</v>
      </c>
    </row>
    <row r="17" customFormat="false" ht="39.55" hidden="false" customHeight="false" outlineLevel="0" collapsed="false">
      <c r="A17" s="5" t="s">
        <v>340</v>
      </c>
      <c r="B17" s="5" t="s">
        <v>341</v>
      </c>
      <c r="C17" s="5"/>
      <c r="D17" s="5" t="str">
        <f aca="false">IF(AND(I17=0,G17&lt;35),"Title and description",IF(I17=0,"Description",IF(G17&lt;35,"Title",IF(OR(G17&gt;60,I17&gt;160),"Too long: trim","Nothing — keep"))))</f>
        <v>Nothing — keep</v>
      </c>
      <c r="E17" s="5" t="s">
        <v>51</v>
      </c>
      <c r="F17" s="5" t="s">
        <v>342</v>
      </c>
      <c r="G17" s="5" t="n">
        <f aca="false">LEN(F17)</f>
        <v>53</v>
      </c>
      <c r="H17" s="5" t="s">
        <v>343</v>
      </c>
      <c r="I17" s="5" t="n">
        <f aca="false">IF(H17="(none)",0,LEN(H17))</f>
        <v>150</v>
      </c>
      <c r="J17" s="6"/>
      <c r="K17" s="5" t="str">
        <f aca="false">IF(J17="","",LEN(J17))</f>
        <v/>
      </c>
      <c r="L17" s="5" t="str">
        <f aca="false">IF(J17="","",IF(LEN(J17)&gt;60,"Too long",IF(LEN(J17)&lt;50,"Too short","OK")))</f>
        <v/>
      </c>
      <c r="M17" s="6"/>
      <c r="N17" s="5" t="str">
        <f aca="false">IF(M17="","",LEN(M17))</f>
        <v/>
      </c>
      <c r="O17" s="5" t="str">
        <f aca="false">IF(M17="","",IF(LEN(M17)&gt;160,"Too long",IF(LEN(M17)&lt;140,"Too short","OK")))</f>
        <v/>
      </c>
      <c r="P17" s="5" t="s">
        <v>56</v>
      </c>
    </row>
    <row r="18" customFormat="false" ht="39.55" hidden="false" customHeight="false" outlineLevel="0" collapsed="false">
      <c r="A18" s="5" t="s">
        <v>344</v>
      </c>
      <c r="B18" s="5" t="s">
        <v>345</v>
      </c>
      <c r="C18" s="5"/>
      <c r="D18" s="5" t="str">
        <f aca="false">IF(AND(I18=0,G18&lt;35),"Title and description",IF(I18=0,"Description",IF(G18&lt;35,"Title",IF(OR(G18&gt;60,I18&gt;160),"Too long: trim","Nothing — keep"))))</f>
        <v>Too long: trim</v>
      </c>
      <c r="E18" s="5" t="s">
        <v>51</v>
      </c>
      <c r="F18" s="5" t="s">
        <v>346</v>
      </c>
      <c r="G18" s="5" t="n">
        <f aca="false">LEN(F18)</f>
        <v>68</v>
      </c>
      <c r="H18" s="5" t="s">
        <v>347</v>
      </c>
      <c r="I18" s="5" t="n">
        <f aca="false">IF(H18="(none)",0,LEN(H18))</f>
        <v>152</v>
      </c>
      <c r="J18" s="6"/>
      <c r="K18" s="5" t="str">
        <f aca="false">IF(J18="","",LEN(J18))</f>
        <v/>
      </c>
      <c r="L18" s="5" t="str">
        <f aca="false">IF(J18="","",IF(LEN(J18)&gt;60,"Too long",IF(LEN(J18)&lt;50,"Too short","OK")))</f>
        <v/>
      </c>
      <c r="M18" s="6"/>
      <c r="N18" s="5" t="str">
        <f aca="false">IF(M18="","",LEN(M18))</f>
        <v/>
      </c>
      <c r="O18" s="5" t="str">
        <f aca="false">IF(M18="","",IF(LEN(M18)&gt;160,"Too long",IF(LEN(M18)&lt;140,"Too short","OK")))</f>
        <v/>
      </c>
      <c r="P18" s="5" t="s">
        <v>56</v>
      </c>
    </row>
    <row r="19" customFormat="false" ht="52.2" hidden="false" customHeight="false" outlineLevel="0" collapsed="false">
      <c r="A19" s="5" t="s">
        <v>348</v>
      </c>
      <c r="B19" s="5" t="s">
        <v>349</v>
      </c>
      <c r="C19" s="5"/>
      <c r="D19" s="5" t="str">
        <f aca="false">IF(AND(I19=0,G19&lt;35),"Title and description",IF(I19=0,"Description",IF(G19&lt;35,"Title",IF(OR(G19&gt;60,I19&gt;160),"Too long: trim","Nothing — keep"))))</f>
        <v>Too long: trim</v>
      </c>
      <c r="E19" s="5" t="s">
        <v>51</v>
      </c>
      <c r="F19" s="5" t="s">
        <v>350</v>
      </c>
      <c r="G19" s="5" t="n">
        <f aca="false">LEN(F19)</f>
        <v>61</v>
      </c>
      <c r="H19" s="5" t="s">
        <v>351</v>
      </c>
      <c r="I19" s="5" t="n">
        <f aca="false">IF(H19="(none)",0,LEN(H19))</f>
        <v>181</v>
      </c>
      <c r="J19" s="6"/>
      <c r="K19" s="5" t="str">
        <f aca="false">IF(J19="","",LEN(J19))</f>
        <v/>
      </c>
      <c r="L19" s="5" t="str">
        <f aca="false">IF(J19="","",IF(LEN(J19)&gt;60,"Too long",IF(LEN(J19)&lt;50,"Too short","OK")))</f>
        <v/>
      </c>
      <c r="M19" s="6"/>
      <c r="N19" s="5" t="str">
        <f aca="false">IF(M19="","",LEN(M19))</f>
        <v/>
      </c>
      <c r="O19" s="5" t="str">
        <f aca="false">IF(M19="","",IF(LEN(M19)&gt;160,"Too long",IF(LEN(M19)&lt;140,"Too short","OK")))</f>
        <v/>
      </c>
      <c r="P19" s="5" t="s">
        <v>56</v>
      </c>
    </row>
    <row r="20" customFormat="false" ht="39.55" hidden="false" customHeight="false" outlineLevel="0" collapsed="false">
      <c r="A20" s="5" t="s">
        <v>352</v>
      </c>
      <c r="B20" s="5" t="s">
        <v>353</v>
      </c>
      <c r="C20" s="5"/>
      <c r="D20" s="5" t="str">
        <f aca="false">IF(AND(I20=0,G20&lt;35),"Title and description",IF(I20=0,"Description",IF(G20&lt;35,"Title",IF(OR(G20&gt;60,I20&gt;160),"Too long: trim","Nothing — keep"))))</f>
        <v>Title</v>
      </c>
      <c r="E20" s="5" t="s">
        <v>333</v>
      </c>
      <c r="F20" s="5" t="s">
        <v>354</v>
      </c>
      <c r="G20" s="5" t="n">
        <f aca="false">LEN(F20)</f>
        <v>31</v>
      </c>
      <c r="H20" s="5" t="s">
        <v>355</v>
      </c>
      <c r="I20" s="5" t="n">
        <f aca="false">IF(H20="(none)",0,LEN(H20))</f>
        <v>137</v>
      </c>
      <c r="J20" s="6"/>
      <c r="K20" s="5" t="str">
        <f aca="false">IF(J20="","",LEN(J20))</f>
        <v/>
      </c>
      <c r="L20" s="5" t="str">
        <f aca="false">IF(J20="","",IF(LEN(J20)&gt;60,"Too long",IF(LEN(J20)&lt;50,"Too short","OK")))</f>
        <v/>
      </c>
      <c r="M20" s="6"/>
      <c r="N20" s="5" t="str">
        <f aca="false">IF(M20="","",LEN(M20))</f>
        <v/>
      </c>
      <c r="O20" s="5" t="str">
        <f aca="false">IF(M20="","",IF(LEN(M20)&gt;160,"Too long",IF(LEN(M20)&lt;140,"Too short","OK")))</f>
        <v/>
      </c>
      <c r="P20" s="5" t="s">
        <v>56</v>
      </c>
    </row>
    <row r="21" customFormat="false" ht="39.55" hidden="false" customHeight="false" outlineLevel="0" collapsed="false">
      <c r="A21" s="5" t="s">
        <v>356</v>
      </c>
      <c r="B21" s="5" t="s">
        <v>357</v>
      </c>
      <c r="C21" s="5"/>
      <c r="D21" s="5" t="str">
        <f aca="false">IF(AND(I21=0,G21&lt;35),"Title and description",IF(I21=0,"Description",IF(G21&lt;35,"Title",IF(OR(G21&gt;60,I21&gt;160),"Too long: trim","Nothing — keep"))))</f>
        <v>Too long: trim</v>
      </c>
      <c r="E21" s="5" t="s">
        <v>51</v>
      </c>
      <c r="F21" s="5" t="s">
        <v>358</v>
      </c>
      <c r="G21" s="5" t="n">
        <f aca="false">LEN(F21)</f>
        <v>73</v>
      </c>
      <c r="H21" s="5" t="s">
        <v>359</v>
      </c>
      <c r="I21" s="5" t="n">
        <f aca="false">IF(H21="(none)",0,LEN(H21))</f>
        <v>157</v>
      </c>
      <c r="J21" s="6"/>
      <c r="K21" s="5" t="str">
        <f aca="false">IF(J21="","",LEN(J21))</f>
        <v/>
      </c>
      <c r="L21" s="5" t="str">
        <f aca="false">IF(J21="","",IF(LEN(J21)&gt;60,"Too long",IF(LEN(J21)&lt;50,"Too short","OK")))</f>
        <v/>
      </c>
      <c r="M21" s="6"/>
      <c r="N21" s="5" t="str">
        <f aca="false">IF(M21="","",LEN(M21))</f>
        <v/>
      </c>
      <c r="O21" s="5" t="str">
        <f aca="false">IF(M21="","",IF(LEN(M21)&gt;160,"Too long",IF(LEN(M21)&lt;140,"Too short","OK")))</f>
        <v/>
      </c>
      <c r="P21" s="5" t="s">
        <v>56</v>
      </c>
    </row>
    <row r="22" customFormat="false" ht="39.55" hidden="false" customHeight="false" outlineLevel="0" collapsed="false">
      <c r="A22" s="5" t="s">
        <v>360</v>
      </c>
      <c r="B22" s="5" t="s">
        <v>361</v>
      </c>
      <c r="C22" s="5"/>
      <c r="D22" s="5" t="str">
        <f aca="false">IF(AND(I22=0,G22&lt;35),"Title and description",IF(I22=0,"Description",IF(G22&lt;35,"Title",IF(OR(G22&gt;60,I22&gt;160),"Too long: trim","Nothing — keep"))))</f>
        <v>Nothing — keep</v>
      </c>
      <c r="E22" s="5" t="s">
        <v>51</v>
      </c>
      <c r="F22" s="5" t="s">
        <v>362</v>
      </c>
      <c r="G22" s="5" t="n">
        <f aca="false">LEN(F22)</f>
        <v>42</v>
      </c>
      <c r="H22" s="5" t="s">
        <v>363</v>
      </c>
      <c r="I22" s="5" t="n">
        <f aca="false">IF(H22="(none)",0,LEN(H22))</f>
        <v>157</v>
      </c>
      <c r="J22" s="6"/>
      <c r="K22" s="5" t="str">
        <f aca="false">IF(J22="","",LEN(J22))</f>
        <v/>
      </c>
      <c r="L22" s="5" t="str">
        <f aca="false">IF(J22="","",IF(LEN(J22)&gt;60,"Too long",IF(LEN(J22)&lt;50,"Too short","OK")))</f>
        <v/>
      </c>
      <c r="M22" s="6"/>
      <c r="N22" s="5" t="str">
        <f aca="false">IF(M22="","",LEN(M22))</f>
        <v/>
      </c>
      <c r="O22" s="5" t="str">
        <f aca="false">IF(M22="","",IF(LEN(M22)&gt;160,"Too long",IF(LEN(M22)&lt;140,"Too short","OK")))</f>
        <v/>
      </c>
      <c r="P22" s="5" t="s">
        <v>56</v>
      </c>
    </row>
    <row r="23" customFormat="false" ht="39.55" hidden="false" customHeight="false" outlineLevel="0" collapsed="false">
      <c r="A23" s="5" t="s">
        <v>364</v>
      </c>
      <c r="B23" s="5" t="s">
        <v>365</v>
      </c>
      <c r="C23" s="5"/>
      <c r="D23" s="5" t="str">
        <f aca="false">IF(AND(I23=0,G23&lt;35),"Title and description",IF(I23=0,"Description",IF(G23&lt;35,"Title",IF(OR(G23&gt;60,I23&gt;160),"Too long: trim","Nothing — keep"))))</f>
        <v>Nothing — keep</v>
      </c>
      <c r="E23" s="5" t="s">
        <v>51</v>
      </c>
      <c r="F23" s="5" t="s">
        <v>366</v>
      </c>
      <c r="G23" s="5" t="n">
        <f aca="false">LEN(F23)</f>
        <v>60</v>
      </c>
      <c r="H23" s="5" t="s">
        <v>367</v>
      </c>
      <c r="I23" s="5" t="n">
        <f aca="false">IF(H23="(none)",0,LEN(H23))</f>
        <v>150</v>
      </c>
      <c r="J23" s="6"/>
      <c r="K23" s="5" t="str">
        <f aca="false">IF(J23="","",LEN(J23))</f>
        <v/>
      </c>
      <c r="L23" s="5" t="str">
        <f aca="false">IF(J23="","",IF(LEN(J23)&gt;60,"Too long",IF(LEN(J23)&lt;50,"Too short","OK")))</f>
        <v/>
      </c>
      <c r="M23" s="6"/>
      <c r="N23" s="5" t="str">
        <f aca="false">IF(M23="","",LEN(M23))</f>
        <v/>
      </c>
      <c r="O23" s="5" t="str">
        <f aca="false">IF(M23="","",IF(LEN(M23)&gt;160,"Too long",IF(LEN(M23)&lt;140,"Too short","OK")))</f>
        <v/>
      </c>
      <c r="P23" s="5" t="s">
        <v>56</v>
      </c>
    </row>
    <row r="24" customFormat="false" ht="26.85" hidden="false" customHeight="false" outlineLevel="0" collapsed="false">
      <c r="A24" s="5" t="s">
        <v>368</v>
      </c>
      <c r="B24" s="5" t="s">
        <v>369</v>
      </c>
      <c r="C24" s="5"/>
      <c r="D24" s="5" t="str">
        <f aca="false">IF(AND(I24=0,G24&lt;35),"Title and description",IF(I24=0,"Description",IF(G24&lt;35,"Title",IF(OR(G24&gt;60,I24&gt;160),"Too long: trim","Nothing — keep"))))</f>
        <v>Description</v>
      </c>
      <c r="E24" s="5" t="s">
        <v>333</v>
      </c>
      <c r="F24" s="5" t="s">
        <v>370</v>
      </c>
      <c r="G24" s="5" t="n">
        <f aca="false">LEN(F24)</f>
        <v>37</v>
      </c>
      <c r="H24" s="5" t="s">
        <v>88</v>
      </c>
      <c r="I24" s="5" t="n">
        <f aca="false">IF(H24="(none)",0,LEN(H24))</f>
        <v>0</v>
      </c>
      <c r="J24" s="6"/>
      <c r="K24" s="5" t="str">
        <f aca="false">IF(J24="","",LEN(J24))</f>
        <v/>
      </c>
      <c r="L24" s="5" t="str">
        <f aca="false">IF(J24="","",IF(LEN(J24)&gt;60,"Too long",IF(LEN(J24)&lt;50,"Too short","OK")))</f>
        <v/>
      </c>
      <c r="M24" s="6"/>
      <c r="N24" s="5" t="str">
        <f aca="false">IF(M24="","",LEN(M24))</f>
        <v/>
      </c>
      <c r="O24" s="5" t="str">
        <f aca="false">IF(M24="","",IF(LEN(M24)&gt;160,"Too long",IF(LEN(M24)&lt;140,"Too short","OK")))</f>
        <v/>
      </c>
      <c r="P24" s="5" t="s">
        <v>56</v>
      </c>
    </row>
    <row r="25" customFormat="false" ht="26.85" hidden="false" customHeight="false" outlineLevel="0" collapsed="false">
      <c r="A25" s="5" t="s">
        <v>371</v>
      </c>
      <c r="B25" s="5" t="s">
        <v>372</v>
      </c>
      <c r="C25" s="5"/>
      <c r="D25" s="5" t="str">
        <f aca="false">IF(AND(I25=0,G25&lt;35),"Title and description",IF(I25=0,"Description",IF(G25&lt;35,"Title",IF(OR(G25&gt;60,I25&gt;160),"Too long: trim","Nothing — keep"))))</f>
        <v>Description</v>
      </c>
      <c r="E25" s="5" t="s">
        <v>333</v>
      </c>
      <c r="F25" s="5" t="s">
        <v>373</v>
      </c>
      <c r="G25" s="5" t="n">
        <f aca="false">LEN(F25)</f>
        <v>36</v>
      </c>
      <c r="H25" s="5" t="s">
        <v>88</v>
      </c>
      <c r="I25" s="5" t="n">
        <f aca="false">IF(H25="(none)",0,LEN(H25))</f>
        <v>0</v>
      </c>
      <c r="J25" s="6"/>
      <c r="K25" s="5" t="str">
        <f aca="false">IF(J25="","",LEN(J25))</f>
        <v/>
      </c>
      <c r="L25" s="5" t="str">
        <f aca="false">IF(J25="","",IF(LEN(J25)&gt;60,"Too long",IF(LEN(J25)&lt;50,"Too short","OK")))</f>
        <v/>
      </c>
      <c r="M25" s="6"/>
      <c r="N25" s="5" t="str">
        <f aca="false">IF(M25="","",LEN(M25))</f>
        <v/>
      </c>
      <c r="O25" s="5" t="str">
        <f aca="false">IF(M25="","",IF(LEN(M25)&gt;160,"Too long",IF(LEN(M25)&lt;140,"Too short","OK")))</f>
        <v/>
      </c>
      <c r="P25" s="5" t="s">
        <v>56</v>
      </c>
    </row>
    <row r="26" customFormat="false" ht="15" hidden="false" customHeight="false" outlineLevel="0" collapsed="false">
      <c r="A26" s="5" t="s">
        <v>374</v>
      </c>
      <c r="B26" s="5" t="s">
        <v>375</v>
      </c>
      <c r="C26" s="5"/>
      <c r="D26" s="5" t="str">
        <f aca="false">IF(AND(I26=0,G26&lt;35),"Title and description",IF(I26=0,"Description",IF(G26&lt;35,"Title",IF(OR(G26&gt;60,I26&gt;160),"Too long: trim","Nothing — keep"))))</f>
        <v>Title</v>
      </c>
      <c r="E26" s="5" t="s">
        <v>333</v>
      </c>
      <c r="F26" s="5" t="s">
        <v>376</v>
      </c>
      <c r="G26" s="5" t="n">
        <f aca="false">LEN(F26)</f>
        <v>20</v>
      </c>
      <c r="H26" s="5" t="s">
        <v>377</v>
      </c>
      <c r="I26" s="5" t="n">
        <f aca="false">IF(H26="(none)",0,LEN(H26))</f>
        <v>24</v>
      </c>
      <c r="J26" s="6"/>
      <c r="K26" s="5" t="str">
        <f aca="false">IF(J26="","",LEN(J26))</f>
        <v/>
      </c>
      <c r="L26" s="5" t="str">
        <f aca="false">IF(J26="","",IF(LEN(J26)&gt;60,"Too long",IF(LEN(J26)&lt;50,"Too short","OK")))</f>
        <v/>
      </c>
      <c r="M26" s="6"/>
      <c r="N26" s="5" t="str">
        <f aca="false">IF(M26="","",LEN(M26))</f>
        <v/>
      </c>
      <c r="O26" s="5" t="str">
        <f aca="false">IF(M26="","",IF(LEN(M26)&gt;160,"Too long",IF(LEN(M26)&lt;140,"Too short","OK")))</f>
        <v/>
      </c>
      <c r="P26" s="5" t="s">
        <v>56</v>
      </c>
    </row>
    <row r="27" customFormat="false" ht="39.55" hidden="false" customHeight="false" outlineLevel="0" collapsed="false">
      <c r="A27" s="5" t="s">
        <v>378</v>
      </c>
      <c r="B27" s="5" t="s">
        <v>379</v>
      </c>
      <c r="C27" s="5"/>
      <c r="D27" s="5" t="str">
        <f aca="false">IF(AND(I27=0,G27&lt;35),"Title and description",IF(I27=0,"Description",IF(G27&lt;35,"Title",IF(OR(G27&gt;60,I27&gt;160),"Too long: trim","Nothing — keep"))))</f>
        <v>Nothing — keep</v>
      </c>
      <c r="E27" s="5" t="s">
        <v>51</v>
      </c>
      <c r="F27" s="5" t="s">
        <v>380</v>
      </c>
      <c r="G27" s="5" t="n">
        <f aca="false">LEN(F27)</f>
        <v>55</v>
      </c>
      <c r="H27" s="5" t="s">
        <v>381</v>
      </c>
      <c r="I27" s="5" t="n">
        <f aca="false">IF(H27="(none)",0,LEN(H27))</f>
        <v>148</v>
      </c>
      <c r="J27" s="6"/>
      <c r="K27" s="5" t="str">
        <f aca="false">IF(J27="","",LEN(J27))</f>
        <v/>
      </c>
      <c r="L27" s="5" t="str">
        <f aca="false">IF(J27="","",IF(LEN(J27)&gt;60,"Too long",IF(LEN(J27)&lt;50,"Too short","OK")))</f>
        <v/>
      </c>
      <c r="M27" s="6"/>
      <c r="N27" s="5" t="str">
        <f aca="false">IF(M27="","",LEN(M27))</f>
        <v/>
      </c>
      <c r="O27" s="5" t="str">
        <f aca="false">IF(M27="","",IF(LEN(M27)&gt;160,"Too long",IF(LEN(M27)&lt;140,"Too short","OK")))</f>
        <v/>
      </c>
      <c r="P27" s="5" t="s">
        <v>56</v>
      </c>
    </row>
    <row r="28" customFormat="false" ht="39.55" hidden="false" customHeight="false" outlineLevel="0" collapsed="false">
      <c r="A28" s="5" t="s">
        <v>382</v>
      </c>
      <c r="B28" s="5" t="s">
        <v>383</v>
      </c>
      <c r="C28" s="5"/>
      <c r="D28" s="5" t="str">
        <f aca="false">IF(AND(I28=0,G28&lt;35),"Title and description",IF(I28=0,"Description",IF(G28&lt;35,"Title",IF(OR(G28&gt;60,I28&gt;160),"Too long: trim","Nothing — keep"))))</f>
        <v>Too long: trim</v>
      </c>
      <c r="E28" s="5" t="s">
        <v>333</v>
      </c>
      <c r="F28" s="5" t="s">
        <v>384</v>
      </c>
      <c r="G28" s="5" t="n">
        <f aca="false">LEN(F28)</f>
        <v>62</v>
      </c>
      <c r="H28" s="5" t="s">
        <v>385</v>
      </c>
      <c r="I28" s="5" t="n">
        <f aca="false">IF(H28="(none)",0,LEN(H28))</f>
        <v>151</v>
      </c>
      <c r="J28" s="6"/>
      <c r="K28" s="5" t="str">
        <f aca="false">IF(J28="","",LEN(J28))</f>
        <v/>
      </c>
      <c r="L28" s="5" t="str">
        <f aca="false">IF(J28="","",IF(LEN(J28)&gt;60,"Too long",IF(LEN(J28)&lt;50,"Too short","OK")))</f>
        <v/>
      </c>
      <c r="M28" s="6"/>
      <c r="N28" s="5" t="str">
        <f aca="false">IF(M28="","",LEN(M28))</f>
        <v/>
      </c>
      <c r="O28" s="5" t="str">
        <f aca="false">IF(M28="","",IF(LEN(M28)&gt;160,"Too long",IF(LEN(M28)&lt;140,"Too short","OK")))</f>
        <v/>
      </c>
      <c r="P28" s="5" t="s">
        <v>56</v>
      </c>
    </row>
    <row r="29" customFormat="false" ht="39.55" hidden="false" customHeight="false" outlineLevel="0" collapsed="false">
      <c r="A29" s="5" t="s">
        <v>386</v>
      </c>
      <c r="B29" s="5" t="s">
        <v>387</v>
      </c>
      <c r="C29" s="5"/>
      <c r="D29" s="5" t="str">
        <f aca="false">IF(AND(I29=0,G29&lt;35),"Title and description",IF(I29=0,"Description",IF(G29&lt;35,"Title",IF(OR(G29&gt;60,I29&gt;160),"Too long: trim","Nothing — keep"))))</f>
        <v>Too long: trim</v>
      </c>
      <c r="E29" s="5" t="s">
        <v>333</v>
      </c>
      <c r="F29" s="5" t="s">
        <v>388</v>
      </c>
      <c r="G29" s="5" t="n">
        <f aca="false">LEN(F29)</f>
        <v>62</v>
      </c>
      <c r="H29" s="5" t="s">
        <v>389</v>
      </c>
      <c r="I29" s="5" t="n">
        <f aca="false">IF(H29="(none)",0,LEN(H29))</f>
        <v>154</v>
      </c>
      <c r="J29" s="6"/>
      <c r="K29" s="5" t="str">
        <f aca="false">IF(J29="","",LEN(J29))</f>
        <v/>
      </c>
      <c r="L29" s="5" t="str">
        <f aca="false">IF(J29="","",IF(LEN(J29)&gt;60,"Too long",IF(LEN(J29)&lt;50,"Too short","OK")))</f>
        <v/>
      </c>
      <c r="M29" s="6"/>
      <c r="N29" s="5" t="str">
        <f aca="false">IF(M29="","",LEN(M29))</f>
        <v/>
      </c>
      <c r="O29" s="5" t="str">
        <f aca="false">IF(M29="","",IF(LEN(M29)&gt;160,"Too long",IF(LEN(M29)&lt;140,"Too short","OK")))</f>
        <v/>
      </c>
      <c r="P29" s="5" t="s">
        <v>56</v>
      </c>
    </row>
    <row r="30" customFormat="false" ht="39.55" hidden="false" customHeight="false" outlineLevel="0" collapsed="false">
      <c r="A30" s="5" t="s">
        <v>390</v>
      </c>
      <c r="B30" s="5" t="s">
        <v>391</v>
      </c>
      <c r="C30" s="5"/>
      <c r="D30" s="5" t="str">
        <f aca="false">IF(AND(I30=0,G30&lt;35),"Title and description",IF(I30=0,"Description",IF(G30&lt;35,"Title",IF(OR(G30&gt;60,I30&gt;160),"Too long: trim","Nothing — keep"))))</f>
        <v>Too long: trim</v>
      </c>
      <c r="E30" s="5" t="s">
        <v>51</v>
      </c>
      <c r="F30" s="5" t="s">
        <v>392</v>
      </c>
      <c r="G30" s="5" t="n">
        <f aca="false">LEN(F30)</f>
        <v>65</v>
      </c>
      <c r="H30" s="5" t="s">
        <v>393</v>
      </c>
      <c r="I30" s="5" t="n">
        <f aca="false">IF(H30="(none)",0,LEN(H30))</f>
        <v>159</v>
      </c>
      <c r="J30" s="6"/>
      <c r="K30" s="5" t="str">
        <f aca="false">IF(J30="","",LEN(J30))</f>
        <v/>
      </c>
      <c r="L30" s="5" t="str">
        <f aca="false">IF(J30="","",IF(LEN(J30)&gt;60,"Too long",IF(LEN(J30)&lt;50,"Too short","OK")))</f>
        <v/>
      </c>
      <c r="M30" s="6"/>
      <c r="N30" s="5" t="str">
        <f aca="false">IF(M30="","",LEN(M30))</f>
        <v/>
      </c>
      <c r="O30" s="5" t="str">
        <f aca="false">IF(M30="","",IF(LEN(M30)&gt;160,"Too long",IF(LEN(M30)&lt;140,"Too short","OK")))</f>
        <v/>
      </c>
      <c r="P30" s="5" t="s">
        <v>56</v>
      </c>
    </row>
    <row r="31" customFormat="false" ht="39.55" hidden="false" customHeight="false" outlineLevel="0" collapsed="false">
      <c r="A31" s="5" t="s">
        <v>394</v>
      </c>
      <c r="B31" s="5" t="s">
        <v>395</v>
      </c>
      <c r="C31" s="5"/>
      <c r="D31" s="5" t="str">
        <f aca="false">IF(AND(I31=0,G31&lt;35),"Title and description",IF(I31=0,"Description",IF(G31&lt;35,"Title",IF(OR(G31&gt;60,I31&gt;160),"Too long: trim","Nothing — keep"))))</f>
        <v>Nothing — keep</v>
      </c>
      <c r="E31" s="5" t="s">
        <v>51</v>
      </c>
      <c r="F31" s="5" t="s">
        <v>396</v>
      </c>
      <c r="G31" s="5" t="n">
        <f aca="false">LEN(F31)</f>
        <v>54</v>
      </c>
      <c r="H31" s="5" t="s">
        <v>397</v>
      </c>
      <c r="I31" s="5" t="n">
        <f aca="false">IF(H31="(none)",0,LEN(H31))</f>
        <v>151</v>
      </c>
      <c r="J31" s="6"/>
      <c r="K31" s="5" t="str">
        <f aca="false">IF(J31="","",LEN(J31))</f>
        <v/>
      </c>
      <c r="L31" s="5" t="str">
        <f aca="false">IF(J31="","",IF(LEN(J31)&gt;60,"Too long",IF(LEN(J31)&lt;50,"Too short","OK")))</f>
        <v/>
      </c>
      <c r="M31" s="6"/>
      <c r="N31" s="5" t="str">
        <f aca="false">IF(M31="","",LEN(M31))</f>
        <v/>
      </c>
      <c r="O31" s="5" t="str">
        <f aca="false">IF(M31="","",IF(LEN(M31)&gt;160,"Too long",IF(LEN(M31)&lt;140,"Too short","OK")))</f>
        <v/>
      </c>
      <c r="P31" s="5" t="s">
        <v>56</v>
      </c>
    </row>
    <row r="32" customFormat="false" ht="39.55" hidden="false" customHeight="false" outlineLevel="0" collapsed="false">
      <c r="A32" s="5" t="s">
        <v>398</v>
      </c>
      <c r="B32" s="5" t="s">
        <v>399</v>
      </c>
      <c r="C32" s="5"/>
      <c r="D32" s="5" t="str">
        <f aca="false">IF(AND(I32=0,G32&lt;35),"Title and description",IF(I32=0,"Description",IF(G32&lt;35,"Title",IF(OR(G32&gt;60,I32&gt;160),"Too long: trim","Nothing — keep"))))</f>
        <v>Too long: trim</v>
      </c>
      <c r="E32" s="5" t="s">
        <v>51</v>
      </c>
      <c r="F32" s="5" t="s">
        <v>400</v>
      </c>
      <c r="G32" s="5" t="n">
        <f aca="false">LEN(F32)</f>
        <v>74</v>
      </c>
      <c r="H32" s="5" t="s">
        <v>401</v>
      </c>
      <c r="I32" s="5" t="n">
        <f aca="false">IF(H32="(none)",0,LEN(H32))</f>
        <v>160</v>
      </c>
      <c r="J32" s="6"/>
      <c r="K32" s="5" t="str">
        <f aca="false">IF(J32="","",LEN(J32))</f>
        <v/>
      </c>
      <c r="L32" s="5" t="str">
        <f aca="false">IF(J32="","",IF(LEN(J32)&gt;60,"Too long",IF(LEN(J32)&lt;50,"Too short","OK")))</f>
        <v/>
      </c>
      <c r="M32" s="6"/>
      <c r="N32" s="5" t="str">
        <f aca="false">IF(M32="","",LEN(M32))</f>
        <v/>
      </c>
      <c r="O32" s="5" t="str">
        <f aca="false">IF(M32="","",IF(LEN(M32)&gt;160,"Too long",IF(LEN(M32)&lt;140,"Too short","OK")))</f>
        <v/>
      </c>
      <c r="P32" s="5" t="s">
        <v>56</v>
      </c>
    </row>
    <row r="33" customFormat="false" ht="39.55" hidden="false" customHeight="false" outlineLevel="0" collapsed="false">
      <c r="A33" s="5" t="s">
        <v>402</v>
      </c>
      <c r="B33" s="5" t="s">
        <v>403</v>
      </c>
      <c r="C33" s="5"/>
      <c r="D33" s="5" t="str">
        <f aca="false">IF(AND(I33=0,G33&lt;35),"Title and description",IF(I33=0,"Description",IF(G33&lt;35,"Title",IF(OR(G33&gt;60,I33&gt;160),"Too long: trim","Nothing — keep"))))</f>
        <v>Nothing — keep</v>
      </c>
      <c r="E33" s="5" t="s">
        <v>51</v>
      </c>
      <c r="F33" s="5" t="s">
        <v>404</v>
      </c>
      <c r="G33" s="5" t="n">
        <f aca="false">LEN(F33)</f>
        <v>60</v>
      </c>
      <c r="H33" s="5" t="s">
        <v>405</v>
      </c>
      <c r="I33" s="5" t="n">
        <f aca="false">IF(H33="(none)",0,LEN(H33))</f>
        <v>159</v>
      </c>
      <c r="J33" s="6"/>
      <c r="K33" s="5" t="str">
        <f aca="false">IF(J33="","",LEN(J33))</f>
        <v/>
      </c>
      <c r="L33" s="5" t="str">
        <f aca="false">IF(J33="","",IF(LEN(J33)&gt;60,"Too long",IF(LEN(J33)&lt;50,"Too short","OK")))</f>
        <v/>
      </c>
      <c r="M33" s="6"/>
      <c r="N33" s="5" t="str">
        <f aca="false">IF(M33="","",LEN(M33))</f>
        <v/>
      </c>
      <c r="O33" s="5" t="str">
        <f aca="false">IF(M33="","",IF(LEN(M33)&gt;160,"Too long",IF(LEN(M33)&lt;140,"Too short","OK")))</f>
        <v/>
      </c>
      <c r="P33" s="5" t="s">
        <v>56</v>
      </c>
    </row>
    <row r="34" customFormat="false" ht="39.55" hidden="false" customHeight="false" outlineLevel="0" collapsed="false">
      <c r="A34" s="5" t="s">
        <v>406</v>
      </c>
      <c r="B34" s="5" t="s">
        <v>407</v>
      </c>
      <c r="C34" s="5"/>
      <c r="D34" s="5" t="str">
        <f aca="false">IF(AND(I34=0,G34&lt;35),"Title and description",IF(I34=0,"Description",IF(G34&lt;35,"Title",IF(OR(G34&gt;60,I34&gt;160),"Too long: trim","Nothing — keep"))))</f>
        <v>Too long: trim</v>
      </c>
      <c r="E34" s="5" t="s">
        <v>51</v>
      </c>
      <c r="F34" s="5" t="s">
        <v>408</v>
      </c>
      <c r="G34" s="5" t="n">
        <f aca="false">LEN(F34)</f>
        <v>47</v>
      </c>
      <c r="H34" s="5" t="s">
        <v>409</v>
      </c>
      <c r="I34" s="5" t="n">
        <f aca="false">IF(H34="(none)",0,LEN(H34))</f>
        <v>163</v>
      </c>
      <c r="J34" s="6"/>
      <c r="K34" s="5" t="str">
        <f aca="false">IF(J34="","",LEN(J34))</f>
        <v/>
      </c>
      <c r="L34" s="5" t="str">
        <f aca="false">IF(J34="","",IF(LEN(J34)&gt;60,"Too long",IF(LEN(J34)&lt;50,"Too short","OK")))</f>
        <v/>
      </c>
      <c r="M34" s="6"/>
      <c r="N34" s="5" t="str">
        <f aca="false">IF(M34="","",LEN(M34))</f>
        <v/>
      </c>
      <c r="O34" s="5" t="str">
        <f aca="false">IF(M34="","",IF(LEN(M34)&gt;160,"Too long",IF(LEN(M34)&lt;140,"Too short","OK")))</f>
        <v/>
      </c>
      <c r="P34" s="5" t="s">
        <v>56</v>
      </c>
    </row>
    <row r="35" customFormat="false" ht="39.55" hidden="false" customHeight="false" outlineLevel="0" collapsed="false">
      <c r="A35" s="5" t="s">
        <v>410</v>
      </c>
      <c r="B35" s="5" t="s">
        <v>411</v>
      </c>
      <c r="C35" s="5"/>
      <c r="D35" s="5" t="str">
        <f aca="false">IF(AND(I35=0,G35&lt;35),"Title and description",IF(I35=0,"Description",IF(G35&lt;35,"Title",IF(OR(G35&gt;60,I35&gt;160),"Too long: trim","Nothing — keep"))))</f>
        <v>Too long: trim</v>
      </c>
      <c r="E35" s="5" t="s">
        <v>51</v>
      </c>
      <c r="F35" s="5" t="s">
        <v>412</v>
      </c>
      <c r="G35" s="5" t="n">
        <f aca="false">LEN(F35)</f>
        <v>69</v>
      </c>
      <c r="H35" s="5" t="s">
        <v>413</v>
      </c>
      <c r="I35" s="5" t="n">
        <f aca="false">IF(H35="(none)",0,LEN(H35))</f>
        <v>157</v>
      </c>
      <c r="J35" s="6"/>
      <c r="K35" s="5" t="str">
        <f aca="false">IF(J35="","",LEN(J35))</f>
        <v/>
      </c>
      <c r="L35" s="5" t="str">
        <f aca="false">IF(J35="","",IF(LEN(J35)&gt;60,"Too long",IF(LEN(J35)&lt;50,"Too short","OK")))</f>
        <v/>
      </c>
      <c r="M35" s="6"/>
      <c r="N35" s="5" t="str">
        <f aca="false">IF(M35="","",LEN(M35))</f>
        <v/>
      </c>
      <c r="O35" s="5" t="str">
        <f aca="false">IF(M35="","",IF(LEN(M35)&gt;160,"Too long",IF(LEN(M35)&lt;140,"Too short","OK")))</f>
        <v/>
      </c>
      <c r="P35" s="5" t="s">
        <v>56</v>
      </c>
    </row>
    <row r="36" customFormat="false" ht="39.55" hidden="false" customHeight="false" outlineLevel="0" collapsed="false">
      <c r="A36" s="5" t="s">
        <v>414</v>
      </c>
      <c r="B36" s="5" t="s">
        <v>415</v>
      </c>
      <c r="C36" s="5"/>
      <c r="D36" s="5" t="str">
        <f aca="false">IF(AND(I36=0,G36&lt;35),"Title and description",IF(I36=0,"Description",IF(G36&lt;35,"Title",IF(OR(G36&gt;60,I36&gt;160),"Too long: trim","Nothing — keep"))))</f>
        <v>Too long: trim</v>
      </c>
      <c r="E36" s="5" t="s">
        <v>333</v>
      </c>
      <c r="F36" s="5" t="s">
        <v>416</v>
      </c>
      <c r="G36" s="5" t="n">
        <f aca="false">LEN(F36)</f>
        <v>75</v>
      </c>
      <c r="H36" s="5" t="s">
        <v>417</v>
      </c>
      <c r="I36" s="5" t="n">
        <f aca="false">IF(H36="(none)",0,LEN(H36))</f>
        <v>147</v>
      </c>
      <c r="J36" s="6"/>
      <c r="K36" s="5" t="str">
        <f aca="false">IF(J36="","",LEN(J36))</f>
        <v/>
      </c>
      <c r="L36" s="5" t="str">
        <f aca="false">IF(J36="","",IF(LEN(J36)&gt;60,"Too long",IF(LEN(J36)&lt;50,"Too short","OK")))</f>
        <v/>
      </c>
      <c r="M36" s="6"/>
      <c r="N36" s="5" t="str">
        <f aca="false">IF(M36="","",LEN(M36))</f>
        <v/>
      </c>
      <c r="O36" s="5" t="str">
        <f aca="false">IF(M36="","",IF(LEN(M36)&gt;160,"Too long",IF(LEN(M36)&lt;140,"Too short","OK")))</f>
        <v/>
      </c>
      <c r="P36" s="5" t="s">
        <v>56</v>
      </c>
    </row>
    <row r="37" customFormat="false" ht="39.55" hidden="false" customHeight="false" outlineLevel="0" collapsed="false">
      <c r="A37" s="5" t="s">
        <v>418</v>
      </c>
      <c r="B37" s="5" t="s">
        <v>419</v>
      </c>
      <c r="C37" s="5"/>
      <c r="D37" s="5" t="str">
        <f aca="false">IF(AND(I37=0,G37&lt;35),"Title and description",IF(I37=0,"Description",IF(G37&lt;35,"Title",IF(OR(G37&gt;60,I37&gt;160),"Too long: trim","Nothing — keep"))))</f>
        <v>Too long: trim</v>
      </c>
      <c r="E37" s="5" t="s">
        <v>333</v>
      </c>
      <c r="F37" s="5" t="s">
        <v>420</v>
      </c>
      <c r="G37" s="5" t="n">
        <f aca="false">LEN(F37)</f>
        <v>65</v>
      </c>
      <c r="H37" s="5" t="s">
        <v>421</v>
      </c>
      <c r="I37" s="5" t="n">
        <f aca="false">IF(H37="(none)",0,LEN(H37))</f>
        <v>165</v>
      </c>
      <c r="J37" s="6"/>
      <c r="K37" s="5" t="str">
        <f aca="false">IF(J37="","",LEN(J37))</f>
        <v/>
      </c>
      <c r="L37" s="5" t="str">
        <f aca="false">IF(J37="","",IF(LEN(J37)&gt;60,"Too long",IF(LEN(J37)&lt;50,"Too short","OK")))</f>
        <v/>
      </c>
      <c r="M37" s="6"/>
      <c r="N37" s="5" t="str">
        <f aca="false">IF(M37="","",LEN(M37))</f>
        <v/>
      </c>
      <c r="O37" s="5" t="str">
        <f aca="false">IF(M37="","",IF(LEN(M37)&gt;160,"Too long",IF(LEN(M37)&lt;140,"Too short","OK")))</f>
        <v/>
      </c>
      <c r="P37" s="5" t="s">
        <v>56</v>
      </c>
    </row>
    <row r="38" customFormat="false" ht="39.55" hidden="false" customHeight="false" outlineLevel="0" collapsed="false">
      <c r="A38" s="5" t="s">
        <v>422</v>
      </c>
      <c r="B38" s="5" t="s">
        <v>423</v>
      </c>
      <c r="C38" s="5"/>
      <c r="D38" s="5" t="str">
        <f aca="false">IF(AND(I38=0,G38&lt;35),"Title and description",IF(I38=0,"Description",IF(G38&lt;35,"Title",IF(OR(G38&gt;60,I38&gt;160),"Too long: trim","Nothing — keep"))))</f>
        <v>Too long: trim</v>
      </c>
      <c r="E38" s="5" t="s">
        <v>51</v>
      </c>
      <c r="F38" s="5" t="s">
        <v>424</v>
      </c>
      <c r="G38" s="5" t="n">
        <f aca="false">LEN(F38)</f>
        <v>61</v>
      </c>
      <c r="H38" s="5" t="s">
        <v>425</v>
      </c>
      <c r="I38" s="5" t="n">
        <f aca="false">IF(H38="(none)",0,LEN(H38))</f>
        <v>158</v>
      </c>
      <c r="J38" s="6"/>
      <c r="K38" s="5" t="str">
        <f aca="false">IF(J38="","",LEN(J38))</f>
        <v/>
      </c>
      <c r="L38" s="5" t="str">
        <f aca="false">IF(J38="","",IF(LEN(J38)&gt;60,"Too long",IF(LEN(J38)&lt;50,"Too short","OK")))</f>
        <v/>
      </c>
      <c r="M38" s="6"/>
      <c r="N38" s="5" t="str">
        <f aca="false">IF(M38="","",LEN(M38))</f>
        <v/>
      </c>
      <c r="O38" s="5" t="str">
        <f aca="false">IF(M38="","",IF(LEN(M38)&gt;160,"Too long",IF(LEN(M38)&lt;140,"Too short","OK")))</f>
        <v/>
      </c>
      <c r="P38" s="5" t="s">
        <v>56</v>
      </c>
    </row>
    <row r="39" customFormat="false" ht="39.55" hidden="false" customHeight="false" outlineLevel="0" collapsed="false">
      <c r="A39" s="5" t="s">
        <v>426</v>
      </c>
      <c r="B39" s="5" t="s">
        <v>427</v>
      </c>
      <c r="C39" s="5"/>
      <c r="D39" s="5" t="str">
        <f aca="false">IF(AND(I39=0,G39&lt;35),"Title and description",IF(I39=0,"Description",IF(G39&lt;35,"Title",IF(OR(G39&gt;60,I39&gt;160),"Too long: trim","Nothing — keep"))))</f>
        <v>Too long: trim</v>
      </c>
      <c r="E39" s="5" t="s">
        <v>51</v>
      </c>
      <c r="F39" s="5" t="s">
        <v>428</v>
      </c>
      <c r="G39" s="5" t="n">
        <f aca="false">LEN(F39)</f>
        <v>73</v>
      </c>
      <c r="H39" s="5" t="s">
        <v>429</v>
      </c>
      <c r="I39" s="5" t="n">
        <f aca="false">IF(H39="(none)",0,LEN(H39))</f>
        <v>173</v>
      </c>
      <c r="J39" s="6"/>
      <c r="K39" s="5" t="str">
        <f aca="false">IF(J39="","",LEN(J39))</f>
        <v/>
      </c>
      <c r="L39" s="5" t="str">
        <f aca="false">IF(J39="","",IF(LEN(J39)&gt;60,"Too long",IF(LEN(J39)&lt;50,"Too short","OK")))</f>
        <v/>
      </c>
      <c r="M39" s="6"/>
      <c r="N39" s="5" t="str">
        <f aca="false">IF(M39="","",LEN(M39))</f>
        <v/>
      </c>
      <c r="O39" s="5" t="str">
        <f aca="false">IF(M39="","",IF(LEN(M39)&gt;160,"Too long",IF(LEN(M39)&lt;140,"Too short","OK")))</f>
        <v/>
      </c>
      <c r="P39" s="5" t="s">
        <v>56</v>
      </c>
    </row>
    <row r="40" customFormat="false" ht="15" hidden="false" customHeight="false" outlineLevel="0" collapsed="false">
      <c r="A40" s="5" t="s">
        <v>430</v>
      </c>
      <c r="B40" s="5" t="s">
        <v>431</v>
      </c>
      <c r="C40" s="5"/>
      <c r="D40" s="5" t="str">
        <f aca="false">IF(AND(I40=0,G40&lt;35),"Title and description",IF(I40=0,"Description",IF(G40&lt;35,"Title",IF(OR(G40&gt;60,I40&gt;160),"Too long: trim","Nothing — keep"))))</f>
        <v>Title and description</v>
      </c>
      <c r="E40" s="5" t="s">
        <v>333</v>
      </c>
      <c r="F40" s="5" t="s">
        <v>432</v>
      </c>
      <c r="G40" s="5" t="n">
        <f aca="false">LEN(F40)</f>
        <v>23</v>
      </c>
      <c r="H40" s="5" t="s">
        <v>88</v>
      </c>
      <c r="I40" s="5" t="n">
        <f aca="false">IF(H40="(none)",0,LEN(H40))</f>
        <v>0</v>
      </c>
      <c r="J40" s="6"/>
      <c r="K40" s="5" t="str">
        <f aca="false">IF(J40="","",LEN(J40))</f>
        <v/>
      </c>
      <c r="L40" s="5" t="str">
        <f aca="false">IF(J40="","",IF(LEN(J40)&gt;60,"Too long",IF(LEN(J40)&lt;50,"Too short","OK")))</f>
        <v/>
      </c>
      <c r="M40" s="6"/>
      <c r="N40" s="5" t="str">
        <f aca="false">IF(M40="","",LEN(M40))</f>
        <v/>
      </c>
      <c r="O40" s="5" t="str">
        <f aca="false">IF(M40="","",IF(LEN(M40)&gt;160,"Too long",IF(LEN(M40)&lt;140,"Too short","OK")))</f>
        <v/>
      </c>
      <c r="P40" s="5" t="s">
        <v>56</v>
      </c>
    </row>
    <row r="41" customFormat="false" ht="39.55" hidden="false" customHeight="false" outlineLevel="0" collapsed="false">
      <c r="A41" s="5" t="s">
        <v>433</v>
      </c>
      <c r="B41" s="5" t="s">
        <v>434</v>
      </c>
      <c r="C41" s="5"/>
      <c r="D41" s="5" t="str">
        <f aca="false">IF(AND(I41=0,G41&lt;35),"Title and description",IF(I41=0,"Description",IF(G41&lt;35,"Title",IF(OR(G41&gt;60,I41&gt;160),"Too long: trim","Nothing — keep"))))</f>
        <v>Too long: trim</v>
      </c>
      <c r="E41" s="5" t="s">
        <v>51</v>
      </c>
      <c r="F41" s="5" t="s">
        <v>435</v>
      </c>
      <c r="G41" s="5" t="n">
        <f aca="false">LEN(F41)</f>
        <v>69</v>
      </c>
      <c r="H41" s="5" t="s">
        <v>436</v>
      </c>
      <c r="I41" s="5" t="n">
        <f aca="false">IF(H41="(none)",0,LEN(H41))</f>
        <v>158</v>
      </c>
      <c r="J41" s="6"/>
      <c r="K41" s="5" t="str">
        <f aca="false">IF(J41="","",LEN(J41))</f>
        <v/>
      </c>
      <c r="L41" s="5" t="str">
        <f aca="false">IF(J41="","",IF(LEN(J41)&gt;60,"Too long",IF(LEN(J41)&lt;50,"Too short","OK")))</f>
        <v/>
      </c>
      <c r="M41" s="6"/>
      <c r="N41" s="5" t="str">
        <f aca="false">IF(M41="","",LEN(M41))</f>
        <v/>
      </c>
      <c r="O41" s="5" t="str">
        <f aca="false">IF(M41="","",IF(LEN(M41)&gt;160,"Too long",IF(LEN(M41)&lt;140,"Too short","OK")))</f>
        <v/>
      </c>
      <c r="P41" s="5" t="s">
        <v>56</v>
      </c>
    </row>
    <row r="42" customFormat="false" ht="39.55" hidden="false" customHeight="false" outlineLevel="0" collapsed="false">
      <c r="A42" s="5" t="s">
        <v>437</v>
      </c>
      <c r="B42" s="5" t="s">
        <v>438</v>
      </c>
      <c r="C42" s="5"/>
      <c r="D42" s="5" t="str">
        <f aca="false">IF(AND(I42=0,G42&lt;35),"Title and description",IF(I42=0,"Description",IF(G42&lt;35,"Title",IF(OR(G42&gt;60,I42&gt;160),"Too long: trim","Nothing — keep"))))</f>
        <v>Too long: trim</v>
      </c>
      <c r="E42" s="5" t="s">
        <v>51</v>
      </c>
      <c r="F42" s="5" t="s">
        <v>439</v>
      </c>
      <c r="G42" s="5" t="n">
        <f aca="false">LEN(F42)</f>
        <v>66</v>
      </c>
      <c r="H42" s="5" t="s">
        <v>440</v>
      </c>
      <c r="I42" s="5" t="n">
        <f aca="false">IF(H42="(none)",0,LEN(H42))</f>
        <v>158</v>
      </c>
      <c r="J42" s="6"/>
      <c r="K42" s="5" t="str">
        <f aca="false">IF(J42="","",LEN(J42))</f>
        <v/>
      </c>
      <c r="L42" s="5" t="str">
        <f aca="false">IF(J42="","",IF(LEN(J42)&gt;60,"Too long",IF(LEN(J42)&lt;50,"Too short","OK")))</f>
        <v/>
      </c>
      <c r="M42" s="6"/>
      <c r="N42" s="5" t="str">
        <f aca="false">IF(M42="","",LEN(M42))</f>
        <v/>
      </c>
      <c r="O42" s="5" t="str">
        <f aca="false">IF(M42="","",IF(LEN(M42)&gt;160,"Too long",IF(LEN(M42)&lt;140,"Too short","OK")))</f>
        <v/>
      </c>
      <c r="P42" s="5" t="s">
        <v>56</v>
      </c>
    </row>
    <row r="43" customFormat="false" ht="39.55" hidden="false" customHeight="false" outlineLevel="0" collapsed="false">
      <c r="A43" s="5" t="s">
        <v>441</v>
      </c>
      <c r="B43" s="5" t="s">
        <v>442</v>
      </c>
      <c r="C43" s="5"/>
      <c r="D43" s="5" t="str">
        <f aca="false">IF(AND(I43=0,G43&lt;35),"Title and description",IF(I43=0,"Description",IF(G43&lt;35,"Title",IF(OR(G43&gt;60,I43&gt;160),"Too long: trim","Nothing — keep"))))</f>
        <v>Too long: trim</v>
      </c>
      <c r="E43" s="5" t="s">
        <v>333</v>
      </c>
      <c r="F43" s="5" t="s">
        <v>443</v>
      </c>
      <c r="G43" s="5" t="n">
        <f aca="false">LEN(F43)</f>
        <v>68</v>
      </c>
      <c r="H43" s="5" t="s">
        <v>444</v>
      </c>
      <c r="I43" s="5" t="n">
        <f aca="false">IF(H43="(none)",0,LEN(H43))</f>
        <v>165</v>
      </c>
      <c r="J43" s="6"/>
      <c r="K43" s="5" t="str">
        <f aca="false">IF(J43="","",LEN(J43))</f>
        <v/>
      </c>
      <c r="L43" s="5" t="str">
        <f aca="false">IF(J43="","",IF(LEN(J43)&gt;60,"Too long",IF(LEN(J43)&lt;50,"Too short","OK")))</f>
        <v/>
      </c>
      <c r="M43" s="6"/>
      <c r="N43" s="5" t="str">
        <f aca="false">IF(M43="","",LEN(M43))</f>
        <v/>
      </c>
      <c r="O43" s="5" t="str">
        <f aca="false">IF(M43="","",IF(LEN(M43)&gt;160,"Too long",IF(LEN(M43)&lt;140,"Too short","OK")))</f>
        <v/>
      </c>
      <c r="P43" s="5" t="s">
        <v>56</v>
      </c>
    </row>
    <row r="44" customFormat="false" ht="39.55" hidden="false" customHeight="false" outlineLevel="0" collapsed="false">
      <c r="A44" s="5" t="s">
        <v>445</v>
      </c>
      <c r="B44" s="5" t="s">
        <v>446</v>
      </c>
      <c r="C44" s="5"/>
      <c r="D44" s="5" t="str">
        <f aca="false">IF(AND(I44=0,G44&lt;35),"Title and description",IF(I44=0,"Description",IF(G44&lt;35,"Title",IF(OR(G44&gt;60,I44&gt;160),"Too long: trim","Nothing — keep"))))</f>
        <v>Nothing — keep</v>
      </c>
      <c r="E44" s="5" t="s">
        <v>51</v>
      </c>
      <c r="F44" s="5" t="s">
        <v>447</v>
      </c>
      <c r="G44" s="5" t="n">
        <f aca="false">LEN(F44)</f>
        <v>60</v>
      </c>
      <c r="H44" s="5" t="s">
        <v>448</v>
      </c>
      <c r="I44" s="5" t="n">
        <f aca="false">IF(H44="(none)",0,LEN(H44))</f>
        <v>150</v>
      </c>
      <c r="J44" s="6"/>
      <c r="K44" s="5" t="str">
        <f aca="false">IF(J44="","",LEN(J44))</f>
        <v/>
      </c>
      <c r="L44" s="5" t="str">
        <f aca="false">IF(J44="","",IF(LEN(J44)&gt;60,"Too long",IF(LEN(J44)&lt;50,"Too short","OK")))</f>
        <v/>
      </c>
      <c r="M44" s="6"/>
      <c r="N44" s="5" t="str">
        <f aca="false">IF(M44="","",LEN(M44))</f>
        <v/>
      </c>
      <c r="O44" s="5" t="str">
        <f aca="false">IF(M44="","",IF(LEN(M44)&gt;160,"Too long",IF(LEN(M44)&lt;140,"Too short","OK")))</f>
        <v/>
      </c>
      <c r="P44" s="5" t="s">
        <v>56</v>
      </c>
    </row>
    <row r="45" customFormat="false" ht="39.55" hidden="false" customHeight="false" outlineLevel="0" collapsed="false">
      <c r="A45" s="5" t="s">
        <v>449</v>
      </c>
      <c r="B45" s="5" t="s">
        <v>450</v>
      </c>
      <c r="C45" s="5"/>
      <c r="D45" s="5" t="str">
        <f aca="false">IF(AND(I45=0,G45&lt;35),"Title and description",IF(I45=0,"Description",IF(G45&lt;35,"Title",IF(OR(G45&gt;60,I45&gt;160),"Too long: trim","Nothing — keep"))))</f>
        <v>Title</v>
      </c>
      <c r="E45" s="5" t="s">
        <v>51</v>
      </c>
      <c r="F45" s="5" t="s">
        <v>451</v>
      </c>
      <c r="G45" s="5" t="n">
        <f aca="false">LEN(F45)</f>
        <v>24</v>
      </c>
      <c r="H45" s="5" t="s">
        <v>452</v>
      </c>
      <c r="I45" s="5" t="n">
        <f aca="false">IF(H45="(none)",0,LEN(H45))</f>
        <v>150</v>
      </c>
      <c r="J45" s="6"/>
      <c r="K45" s="5" t="str">
        <f aca="false">IF(J45="","",LEN(J45))</f>
        <v/>
      </c>
      <c r="L45" s="5" t="str">
        <f aca="false">IF(J45="","",IF(LEN(J45)&gt;60,"Too long",IF(LEN(J45)&lt;50,"Too short","OK")))</f>
        <v/>
      </c>
      <c r="M45" s="6"/>
      <c r="N45" s="5" t="str">
        <f aca="false">IF(M45="","",LEN(M45))</f>
        <v/>
      </c>
      <c r="O45" s="5" t="str">
        <f aca="false">IF(M45="","",IF(LEN(M45)&gt;160,"Too long",IF(LEN(M45)&lt;140,"Too short","OK")))</f>
        <v/>
      </c>
      <c r="P45" s="5" t="s">
        <v>56</v>
      </c>
    </row>
    <row r="46" customFormat="false" ht="39.55" hidden="false" customHeight="false" outlineLevel="0" collapsed="false">
      <c r="A46" s="5" t="s">
        <v>453</v>
      </c>
      <c r="B46" s="5" t="s">
        <v>454</v>
      </c>
      <c r="C46" s="5"/>
      <c r="D46" s="5" t="str">
        <f aca="false">IF(AND(I46=0,G46&lt;35),"Title and description",IF(I46=0,"Description",IF(G46&lt;35,"Title",IF(OR(G46&gt;60,I46&gt;160),"Too long: trim","Nothing — keep"))))</f>
        <v>Nothing — keep</v>
      </c>
      <c r="E46" s="5" t="s">
        <v>51</v>
      </c>
      <c r="F46" s="5" t="s">
        <v>455</v>
      </c>
      <c r="G46" s="5" t="n">
        <f aca="false">LEN(F46)</f>
        <v>51</v>
      </c>
      <c r="H46" s="5" t="s">
        <v>456</v>
      </c>
      <c r="I46" s="5" t="n">
        <f aca="false">IF(H46="(none)",0,LEN(H46))</f>
        <v>157</v>
      </c>
      <c r="J46" s="6"/>
      <c r="K46" s="5" t="str">
        <f aca="false">IF(J46="","",LEN(J46))</f>
        <v/>
      </c>
      <c r="L46" s="5" t="str">
        <f aca="false">IF(J46="","",IF(LEN(J46)&gt;60,"Too long",IF(LEN(J46)&lt;50,"Too short","OK")))</f>
        <v/>
      </c>
      <c r="M46" s="6"/>
      <c r="N46" s="5" t="str">
        <f aca="false">IF(M46="","",LEN(M46))</f>
        <v/>
      </c>
      <c r="O46" s="5" t="str">
        <f aca="false">IF(M46="","",IF(LEN(M46)&gt;160,"Too long",IF(LEN(M46)&lt;140,"Too short","OK")))</f>
        <v/>
      </c>
      <c r="P46" s="5" t="s">
        <v>56</v>
      </c>
    </row>
    <row r="47" customFormat="false" ht="39.55" hidden="false" customHeight="false" outlineLevel="0" collapsed="false">
      <c r="A47" s="5" t="s">
        <v>457</v>
      </c>
      <c r="B47" s="5" t="s">
        <v>458</v>
      </c>
      <c r="C47" s="5"/>
      <c r="D47" s="5" t="str">
        <f aca="false">IF(AND(I47=0,G47&lt;35),"Title and description",IF(I47=0,"Description",IF(G47&lt;35,"Title",IF(OR(G47&gt;60,I47&gt;160),"Too long: trim","Nothing — keep"))))</f>
        <v>Too long: trim</v>
      </c>
      <c r="E47" s="5" t="s">
        <v>51</v>
      </c>
      <c r="F47" s="5" t="s">
        <v>459</v>
      </c>
      <c r="G47" s="5" t="n">
        <f aca="false">LEN(F47)</f>
        <v>78</v>
      </c>
      <c r="H47" s="5" t="s">
        <v>460</v>
      </c>
      <c r="I47" s="5" t="n">
        <f aca="false">IF(H47="(none)",0,LEN(H47))</f>
        <v>164</v>
      </c>
      <c r="J47" s="6"/>
      <c r="K47" s="5" t="str">
        <f aca="false">IF(J47="","",LEN(J47))</f>
        <v/>
      </c>
      <c r="L47" s="5" t="str">
        <f aca="false">IF(J47="","",IF(LEN(J47)&gt;60,"Too long",IF(LEN(J47)&lt;50,"Too short","OK")))</f>
        <v/>
      </c>
      <c r="M47" s="6"/>
      <c r="N47" s="5" t="str">
        <f aca="false">IF(M47="","",LEN(M47))</f>
        <v/>
      </c>
      <c r="O47" s="5" t="str">
        <f aca="false">IF(M47="","",IF(LEN(M47)&gt;160,"Too long",IF(LEN(M47)&lt;140,"Too short","OK")))</f>
        <v/>
      </c>
      <c r="P47" s="5" t="s">
        <v>56</v>
      </c>
    </row>
    <row r="48" customFormat="false" ht="26.85" hidden="false" customHeight="false" outlineLevel="0" collapsed="false">
      <c r="A48" s="5" t="s">
        <v>461</v>
      </c>
      <c r="B48" s="5" t="s">
        <v>462</v>
      </c>
      <c r="C48" s="5"/>
      <c r="D48" s="5" t="str">
        <f aca="false">IF(AND(I48=0,G48&lt;35),"Title and description",IF(I48=0,"Description",IF(G48&lt;35,"Title",IF(OR(G48&gt;60,I48&gt;160),"Too long: trim","Nothing — keep"))))</f>
        <v>Title and description</v>
      </c>
      <c r="E48" s="5" t="s">
        <v>51</v>
      </c>
      <c r="F48" s="5" t="s">
        <v>463</v>
      </c>
      <c r="G48" s="5" t="n">
        <f aca="false">LEN(F48)</f>
        <v>27</v>
      </c>
      <c r="H48" s="5" t="s">
        <v>88</v>
      </c>
      <c r="I48" s="5" t="n">
        <f aca="false">IF(H48="(none)",0,LEN(H48))</f>
        <v>0</v>
      </c>
      <c r="J48" s="6"/>
      <c r="K48" s="5" t="str">
        <f aca="false">IF(J48="","",LEN(J48))</f>
        <v/>
      </c>
      <c r="L48" s="5" t="str">
        <f aca="false">IF(J48="","",IF(LEN(J48)&gt;60,"Too long",IF(LEN(J48)&lt;50,"Too short","OK")))</f>
        <v/>
      </c>
      <c r="M48" s="6"/>
      <c r="N48" s="5" t="str">
        <f aca="false">IF(M48="","",LEN(M48))</f>
        <v/>
      </c>
      <c r="O48" s="5" t="str">
        <f aca="false">IF(M48="","",IF(LEN(M48)&gt;160,"Too long",IF(LEN(M48)&lt;140,"Too short","OK")))</f>
        <v/>
      </c>
      <c r="P48" s="5" t="s">
        <v>56</v>
      </c>
    </row>
    <row r="49" customFormat="false" ht="39.55" hidden="false" customHeight="false" outlineLevel="0" collapsed="false">
      <c r="A49" s="5" t="s">
        <v>464</v>
      </c>
      <c r="B49" s="5" t="s">
        <v>465</v>
      </c>
      <c r="C49" s="5"/>
      <c r="D49" s="5" t="str">
        <f aca="false">IF(AND(I49=0,G49&lt;35),"Title and description",IF(I49=0,"Description",IF(G49&lt;35,"Title",IF(OR(G49&gt;60,I49&gt;160),"Too long: trim","Nothing — keep"))))</f>
        <v>Too long: trim</v>
      </c>
      <c r="E49" s="5" t="s">
        <v>51</v>
      </c>
      <c r="F49" s="5" t="s">
        <v>466</v>
      </c>
      <c r="G49" s="5" t="n">
        <f aca="false">LEN(F49)</f>
        <v>74</v>
      </c>
      <c r="H49" s="5" t="s">
        <v>467</v>
      </c>
      <c r="I49" s="5" t="n">
        <f aca="false">IF(H49="(none)",0,LEN(H49))</f>
        <v>151</v>
      </c>
      <c r="J49" s="6"/>
      <c r="K49" s="5" t="str">
        <f aca="false">IF(J49="","",LEN(J49))</f>
        <v/>
      </c>
      <c r="L49" s="5" t="str">
        <f aca="false">IF(J49="","",IF(LEN(J49)&gt;60,"Too long",IF(LEN(J49)&lt;50,"Too short","OK")))</f>
        <v/>
      </c>
      <c r="M49" s="6"/>
      <c r="N49" s="5" t="str">
        <f aca="false">IF(M49="","",LEN(M49))</f>
        <v/>
      </c>
      <c r="O49" s="5" t="str">
        <f aca="false">IF(M49="","",IF(LEN(M49)&gt;160,"Too long",IF(LEN(M49)&lt;140,"Too short","OK")))</f>
        <v/>
      </c>
      <c r="P49" s="5" t="s">
        <v>56</v>
      </c>
    </row>
    <row r="50" customFormat="false" ht="39.55" hidden="false" customHeight="false" outlineLevel="0" collapsed="false">
      <c r="A50" s="5" t="s">
        <v>468</v>
      </c>
      <c r="B50" s="5" t="s">
        <v>469</v>
      </c>
      <c r="C50" s="5"/>
      <c r="D50" s="5" t="str">
        <f aca="false">IF(AND(I50=0,G50&lt;35),"Title and description",IF(I50=0,"Description",IF(G50&lt;35,"Title",IF(OR(G50&gt;60,I50&gt;160),"Too long: trim","Nothing — keep"))))</f>
        <v>Nothing — keep</v>
      </c>
      <c r="E50" s="5" t="s">
        <v>51</v>
      </c>
      <c r="F50" s="5" t="s">
        <v>470</v>
      </c>
      <c r="G50" s="5" t="n">
        <f aca="false">LEN(F50)</f>
        <v>52</v>
      </c>
      <c r="H50" s="5" t="s">
        <v>471</v>
      </c>
      <c r="I50" s="5" t="n">
        <f aca="false">IF(H50="(none)",0,LEN(H50))</f>
        <v>142</v>
      </c>
      <c r="J50" s="6"/>
      <c r="K50" s="5" t="str">
        <f aca="false">IF(J50="","",LEN(J50))</f>
        <v/>
      </c>
      <c r="L50" s="5" t="str">
        <f aca="false">IF(J50="","",IF(LEN(J50)&gt;60,"Too long",IF(LEN(J50)&lt;50,"Too short","OK")))</f>
        <v/>
      </c>
      <c r="M50" s="6"/>
      <c r="N50" s="5" t="str">
        <f aca="false">IF(M50="","",LEN(M50))</f>
        <v/>
      </c>
      <c r="O50" s="5" t="str">
        <f aca="false">IF(M50="","",IF(LEN(M50)&gt;160,"Too long",IF(LEN(M50)&lt;140,"Too short","OK")))</f>
        <v/>
      </c>
      <c r="P50" s="5" t="s">
        <v>56</v>
      </c>
    </row>
    <row r="51" customFormat="false" ht="39.55" hidden="false" customHeight="false" outlineLevel="0" collapsed="false">
      <c r="A51" s="5" t="s">
        <v>472</v>
      </c>
      <c r="B51" s="5" t="s">
        <v>473</v>
      </c>
      <c r="C51" s="5"/>
      <c r="D51" s="5" t="str">
        <f aca="false">IF(AND(I51=0,G51&lt;35),"Title and description",IF(I51=0,"Description",IF(G51&lt;35,"Title",IF(OR(G51&gt;60,I51&gt;160),"Too long: trim","Nothing — keep"))))</f>
        <v>Nothing — keep</v>
      </c>
      <c r="E51" s="5" t="s">
        <v>51</v>
      </c>
      <c r="F51" s="5" t="s">
        <v>474</v>
      </c>
      <c r="G51" s="5" t="n">
        <f aca="false">LEN(F51)</f>
        <v>54</v>
      </c>
      <c r="H51" s="5" t="s">
        <v>475</v>
      </c>
      <c r="I51" s="5" t="n">
        <f aca="false">IF(H51="(none)",0,LEN(H51))</f>
        <v>156</v>
      </c>
      <c r="J51" s="6"/>
      <c r="K51" s="5" t="str">
        <f aca="false">IF(J51="","",LEN(J51))</f>
        <v/>
      </c>
      <c r="L51" s="5" t="str">
        <f aca="false">IF(J51="","",IF(LEN(J51)&gt;60,"Too long",IF(LEN(J51)&lt;50,"Too short","OK")))</f>
        <v/>
      </c>
      <c r="M51" s="6"/>
      <c r="N51" s="5" t="str">
        <f aca="false">IF(M51="","",LEN(M51))</f>
        <v/>
      </c>
      <c r="O51" s="5" t="str">
        <f aca="false">IF(M51="","",IF(LEN(M51)&gt;160,"Too long",IF(LEN(M51)&lt;140,"Too short","OK")))</f>
        <v/>
      </c>
      <c r="P51" s="5" t="s">
        <v>56</v>
      </c>
    </row>
    <row r="52" customFormat="false" ht="39.55" hidden="false" customHeight="false" outlineLevel="0" collapsed="false">
      <c r="A52" s="5" t="s">
        <v>476</v>
      </c>
      <c r="B52" s="5" t="s">
        <v>477</v>
      </c>
      <c r="C52" s="5"/>
      <c r="D52" s="5" t="str">
        <f aca="false">IF(AND(I52=0,G52&lt;35),"Title and description",IF(I52=0,"Description",IF(G52&lt;35,"Title",IF(OR(G52&gt;60,I52&gt;160),"Too long: trim","Nothing — keep"))))</f>
        <v>Nothing — keep</v>
      </c>
      <c r="E52" s="5" t="s">
        <v>51</v>
      </c>
      <c r="F52" s="5" t="s">
        <v>478</v>
      </c>
      <c r="G52" s="5" t="n">
        <f aca="false">LEN(F52)</f>
        <v>56</v>
      </c>
      <c r="H52" s="5" t="s">
        <v>479</v>
      </c>
      <c r="I52" s="5" t="n">
        <f aca="false">IF(H52="(none)",0,LEN(H52))</f>
        <v>158</v>
      </c>
      <c r="J52" s="6"/>
      <c r="K52" s="5" t="str">
        <f aca="false">IF(J52="","",LEN(J52))</f>
        <v/>
      </c>
      <c r="L52" s="5" t="str">
        <f aca="false">IF(J52="","",IF(LEN(J52)&gt;60,"Too long",IF(LEN(J52)&lt;50,"Too short","OK")))</f>
        <v/>
      </c>
      <c r="M52" s="6"/>
      <c r="N52" s="5" t="str">
        <f aca="false">IF(M52="","",LEN(M52))</f>
        <v/>
      </c>
      <c r="O52" s="5" t="str">
        <f aca="false">IF(M52="","",IF(LEN(M52)&gt;160,"Too long",IF(LEN(M52)&lt;140,"Too short","OK")))</f>
        <v/>
      </c>
      <c r="P52" s="5" t="s">
        <v>56</v>
      </c>
    </row>
    <row r="53" customFormat="false" ht="39.55" hidden="false" customHeight="false" outlineLevel="0" collapsed="false">
      <c r="A53" s="5" t="s">
        <v>480</v>
      </c>
      <c r="B53" s="5" t="s">
        <v>481</v>
      </c>
      <c r="C53" s="5"/>
      <c r="D53" s="5" t="str">
        <f aca="false">IF(AND(I53=0,G53&lt;35),"Title and description",IF(I53=0,"Description",IF(G53&lt;35,"Title",IF(OR(G53&gt;60,I53&gt;160),"Too long: trim","Nothing — keep"))))</f>
        <v>Too long: trim</v>
      </c>
      <c r="E53" s="5" t="s">
        <v>51</v>
      </c>
      <c r="F53" s="5" t="s">
        <v>482</v>
      </c>
      <c r="G53" s="5" t="n">
        <f aca="false">LEN(F53)</f>
        <v>61</v>
      </c>
      <c r="H53" s="5" t="s">
        <v>483</v>
      </c>
      <c r="I53" s="5" t="n">
        <f aca="false">IF(H53="(none)",0,LEN(H53))</f>
        <v>143</v>
      </c>
      <c r="J53" s="6"/>
      <c r="K53" s="5" t="str">
        <f aca="false">IF(J53="","",LEN(J53))</f>
        <v/>
      </c>
      <c r="L53" s="5" t="str">
        <f aca="false">IF(J53="","",IF(LEN(J53)&gt;60,"Too long",IF(LEN(J53)&lt;50,"Too short","OK")))</f>
        <v/>
      </c>
      <c r="M53" s="6"/>
      <c r="N53" s="5" t="str">
        <f aca="false">IF(M53="","",LEN(M53))</f>
        <v/>
      </c>
      <c r="O53" s="5" t="str">
        <f aca="false">IF(M53="","",IF(LEN(M53)&gt;160,"Too long",IF(LEN(M53)&lt;140,"Too short","OK")))</f>
        <v/>
      </c>
      <c r="P53" s="5" t="s">
        <v>56</v>
      </c>
    </row>
    <row r="54" customFormat="false" ht="39.55" hidden="false" customHeight="false" outlineLevel="0" collapsed="false">
      <c r="A54" s="5" t="s">
        <v>484</v>
      </c>
      <c r="B54" s="5" t="s">
        <v>485</v>
      </c>
      <c r="C54" s="5"/>
      <c r="D54" s="5" t="str">
        <f aca="false">IF(AND(I54=0,G54&lt;35),"Title and description",IF(I54=0,"Description",IF(G54&lt;35,"Title",IF(OR(G54&gt;60,I54&gt;160),"Too long: trim","Nothing — keep"))))</f>
        <v>Nothing — keep</v>
      </c>
      <c r="E54" s="5" t="s">
        <v>51</v>
      </c>
      <c r="F54" s="5" t="s">
        <v>486</v>
      </c>
      <c r="G54" s="5" t="n">
        <f aca="false">LEN(F54)</f>
        <v>52</v>
      </c>
      <c r="H54" s="5" t="s">
        <v>487</v>
      </c>
      <c r="I54" s="5" t="n">
        <f aca="false">IF(H54="(none)",0,LEN(H54))</f>
        <v>138</v>
      </c>
      <c r="J54" s="6"/>
      <c r="K54" s="5" t="str">
        <f aca="false">IF(J54="","",LEN(J54))</f>
        <v/>
      </c>
      <c r="L54" s="5" t="str">
        <f aca="false">IF(J54="","",IF(LEN(J54)&gt;60,"Too long",IF(LEN(J54)&lt;50,"Too short","OK")))</f>
        <v/>
      </c>
      <c r="M54" s="6"/>
      <c r="N54" s="5" t="str">
        <f aca="false">IF(M54="","",LEN(M54))</f>
        <v/>
      </c>
      <c r="O54" s="5" t="str">
        <f aca="false">IF(M54="","",IF(LEN(M54)&gt;160,"Too long",IF(LEN(M54)&lt;140,"Too short","OK")))</f>
        <v/>
      </c>
      <c r="P54" s="5" t="s">
        <v>56</v>
      </c>
    </row>
    <row r="55" customFormat="false" ht="39.55" hidden="false" customHeight="false" outlineLevel="0" collapsed="false">
      <c r="A55" s="5" t="s">
        <v>488</v>
      </c>
      <c r="B55" s="5" t="s">
        <v>489</v>
      </c>
      <c r="C55" s="5"/>
      <c r="D55" s="5" t="str">
        <f aca="false">IF(AND(I55=0,G55&lt;35),"Title and description",IF(I55=0,"Description",IF(G55&lt;35,"Title",IF(OR(G55&gt;60,I55&gt;160),"Too long: trim","Nothing — keep"))))</f>
        <v>Nothing — keep</v>
      </c>
      <c r="E55" s="5" t="s">
        <v>51</v>
      </c>
      <c r="F55" s="5" t="s">
        <v>490</v>
      </c>
      <c r="G55" s="5" t="n">
        <f aca="false">LEN(F55)</f>
        <v>60</v>
      </c>
      <c r="H55" s="5" t="s">
        <v>491</v>
      </c>
      <c r="I55" s="5" t="n">
        <f aca="false">IF(H55="(none)",0,LEN(H55))</f>
        <v>153</v>
      </c>
      <c r="J55" s="6"/>
      <c r="K55" s="5" t="str">
        <f aca="false">IF(J55="","",LEN(J55))</f>
        <v/>
      </c>
      <c r="L55" s="5" t="str">
        <f aca="false">IF(J55="","",IF(LEN(J55)&gt;60,"Too long",IF(LEN(J55)&lt;50,"Too short","OK")))</f>
        <v/>
      </c>
      <c r="M55" s="6"/>
      <c r="N55" s="5" t="str">
        <f aca="false">IF(M55="","",LEN(M55))</f>
        <v/>
      </c>
      <c r="O55" s="5" t="str">
        <f aca="false">IF(M55="","",IF(LEN(M55)&gt;160,"Too long",IF(LEN(M55)&lt;140,"Too short","OK")))</f>
        <v/>
      </c>
      <c r="P55" s="5" t="s">
        <v>56</v>
      </c>
    </row>
    <row r="56" customFormat="false" ht="39.55" hidden="false" customHeight="false" outlineLevel="0" collapsed="false">
      <c r="A56" s="5" t="s">
        <v>492</v>
      </c>
      <c r="B56" s="5" t="s">
        <v>493</v>
      </c>
      <c r="C56" s="5"/>
      <c r="D56" s="5" t="str">
        <f aca="false">IF(AND(I56=0,G56&lt;35),"Title and description",IF(I56=0,"Description",IF(G56&lt;35,"Title",IF(OR(G56&gt;60,I56&gt;160),"Too long: trim","Nothing — keep"))))</f>
        <v>Too long: trim</v>
      </c>
      <c r="E56" s="5" t="s">
        <v>51</v>
      </c>
      <c r="F56" s="5" t="s">
        <v>494</v>
      </c>
      <c r="G56" s="5" t="n">
        <f aca="false">LEN(F56)</f>
        <v>73</v>
      </c>
      <c r="H56" s="5" t="s">
        <v>495</v>
      </c>
      <c r="I56" s="5" t="n">
        <f aca="false">IF(H56="(none)",0,LEN(H56))</f>
        <v>154</v>
      </c>
      <c r="J56" s="6"/>
      <c r="K56" s="5" t="str">
        <f aca="false">IF(J56="","",LEN(J56))</f>
        <v/>
      </c>
      <c r="L56" s="5" t="str">
        <f aca="false">IF(J56="","",IF(LEN(J56)&gt;60,"Too long",IF(LEN(J56)&lt;50,"Too short","OK")))</f>
        <v/>
      </c>
      <c r="M56" s="6"/>
      <c r="N56" s="5" t="str">
        <f aca="false">IF(M56="","",LEN(M56))</f>
        <v/>
      </c>
      <c r="O56" s="5" t="str">
        <f aca="false">IF(M56="","",IF(LEN(M56)&gt;160,"Too long",IF(LEN(M56)&lt;140,"Too short","OK")))</f>
        <v/>
      </c>
      <c r="P56" s="5" t="s">
        <v>56</v>
      </c>
    </row>
    <row r="57" customFormat="false" ht="26.85" hidden="false" customHeight="false" outlineLevel="0" collapsed="false">
      <c r="A57" s="5" t="s">
        <v>496</v>
      </c>
      <c r="B57" s="5" t="s">
        <v>497</v>
      </c>
      <c r="C57" s="5"/>
      <c r="D57" s="5" t="str">
        <f aca="false">IF(AND(I57=0,G57&lt;35),"Title and description",IF(I57=0,"Description",IF(G57&lt;35,"Title",IF(OR(G57&gt;60,I57&gt;160),"Too long: trim","Nothing — keep"))))</f>
        <v>Title and description</v>
      </c>
      <c r="E57" s="5" t="s">
        <v>333</v>
      </c>
      <c r="F57" s="5" t="s">
        <v>498</v>
      </c>
      <c r="G57" s="5" t="n">
        <f aca="false">LEN(F57)</f>
        <v>31</v>
      </c>
      <c r="H57" s="5" t="s">
        <v>88</v>
      </c>
      <c r="I57" s="5" t="n">
        <f aca="false">IF(H57="(none)",0,LEN(H57))</f>
        <v>0</v>
      </c>
      <c r="J57" s="6"/>
      <c r="K57" s="5" t="str">
        <f aca="false">IF(J57="","",LEN(J57))</f>
        <v/>
      </c>
      <c r="L57" s="5" t="str">
        <f aca="false">IF(J57="","",IF(LEN(J57)&gt;60,"Too long",IF(LEN(J57)&lt;50,"Too short","OK")))</f>
        <v/>
      </c>
      <c r="M57" s="6"/>
      <c r="N57" s="5" t="str">
        <f aca="false">IF(M57="","",LEN(M57))</f>
        <v/>
      </c>
      <c r="O57" s="5" t="str">
        <f aca="false">IF(M57="","",IF(LEN(M57)&gt;160,"Too long",IF(LEN(M57)&lt;140,"Too short","OK")))</f>
        <v/>
      </c>
      <c r="P57" s="5" t="s">
        <v>56</v>
      </c>
    </row>
    <row r="58" customFormat="false" ht="39.55" hidden="false" customHeight="false" outlineLevel="0" collapsed="false">
      <c r="A58" s="5" t="s">
        <v>499</v>
      </c>
      <c r="B58" s="5" t="s">
        <v>500</v>
      </c>
      <c r="C58" s="5"/>
      <c r="D58" s="5" t="str">
        <f aca="false">IF(AND(I58=0,G58&lt;35),"Title and description",IF(I58=0,"Description",IF(G58&lt;35,"Title",IF(OR(G58&gt;60,I58&gt;160),"Too long: trim","Nothing — keep"))))</f>
        <v>Nothing — keep</v>
      </c>
      <c r="E58" s="5" t="s">
        <v>51</v>
      </c>
      <c r="F58" s="5" t="s">
        <v>501</v>
      </c>
      <c r="G58" s="5" t="n">
        <f aca="false">LEN(F58)</f>
        <v>51</v>
      </c>
      <c r="H58" s="5" t="s">
        <v>502</v>
      </c>
      <c r="I58" s="5" t="n">
        <f aca="false">IF(H58="(none)",0,LEN(H58))</f>
        <v>135</v>
      </c>
      <c r="J58" s="6"/>
      <c r="K58" s="5" t="str">
        <f aca="false">IF(J58="","",LEN(J58))</f>
        <v/>
      </c>
      <c r="L58" s="5" t="str">
        <f aca="false">IF(J58="","",IF(LEN(J58)&gt;60,"Too long",IF(LEN(J58)&lt;50,"Too short","OK")))</f>
        <v/>
      </c>
      <c r="M58" s="6"/>
      <c r="N58" s="5" t="str">
        <f aca="false">IF(M58="","",LEN(M58))</f>
        <v/>
      </c>
      <c r="O58" s="5" t="str">
        <f aca="false">IF(M58="","",IF(LEN(M58)&gt;160,"Too long",IF(LEN(M58)&lt;140,"Too short","OK")))</f>
        <v/>
      </c>
      <c r="P58" s="5" t="s">
        <v>56</v>
      </c>
    </row>
    <row r="59" customFormat="false" ht="39.55" hidden="false" customHeight="false" outlineLevel="0" collapsed="false">
      <c r="A59" s="5" t="s">
        <v>503</v>
      </c>
      <c r="B59" s="5" t="s">
        <v>504</v>
      </c>
      <c r="C59" s="5"/>
      <c r="D59" s="5" t="str">
        <f aca="false">IF(AND(I59=0,G59&lt;35),"Title and description",IF(I59=0,"Description",IF(G59&lt;35,"Title",IF(OR(G59&gt;60,I59&gt;160),"Too long: trim","Nothing — keep"))))</f>
        <v>Nothing — keep</v>
      </c>
      <c r="E59" s="5" t="s">
        <v>51</v>
      </c>
      <c r="F59" s="5" t="s">
        <v>505</v>
      </c>
      <c r="G59" s="5" t="n">
        <f aca="false">LEN(F59)</f>
        <v>59</v>
      </c>
      <c r="H59" s="5" t="s">
        <v>506</v>
      </c>
      <c r="I59" s="5" t="n">
        <f aca="false">IF(H59="(none)",0,LEN(H59))</f>
        <v>136</v>
      </c>
      <c r="J59" s="6"/>
      <c r="K59" s="5" t="str">
        <f aca="false">IF(J59="","",LEN(J59))</f>
        <v/>
      </c>
      <c r="L59" s="5" t="str">
        <f aca="false">IF(J59="","",IF(LEN(J59)&gt;60,"Too long",IF(LEN(J59)&lt;50,"Too short","OK")))</f>
        <v/>
      </c>
      <c r="M59" s="6"/>
      <c r="N59" s="5" t="str">
        <f aca="false">IF(M59="","",LEN(M59))</f>
        <v/>
      </c>
      <c r="O59" s="5" t="str">
        <f aca="false">IF(M59="","",IF(LEN(M59)&gt;160,"Too long",IF(LEN(M59)&lt;140,"Too short","OK")))</f>
        <v/>
      </c>
      <c r="P59" s="5" t="s">
        <v>56</v>
      </c>
    </row>
    <row r="60" customFormat="false" ht="39.55" hidden="false" customHeight="false" outlineLevel="0" collapsed="false">
      <c r="A60" s="5" t="s">
        <v>507</v>
      </c>
      <c r="B60" s="5" t="s">
        <v>508</v>
      </c>
      <c r="C60" s="5"/>
      <c r="D60" s="5" t="str">
        <f aca="false">IF(AND(I60=0,G60&lt;35),"Title and description",IF(I60=0,"Description",IF(G60&lt;35,"Title",IF(OR(G60&gt;60,I60&gt;160),"Too long: trim","Nothing — keep"))))</f>
        <v>Nothing — keep</v>
      </c>
      <c r="E60" s="5" t="s">
        <v>51</v>
      </c>
      <c r="F60" s="5" t="s">
        <v>509</v>
      </c>
      <c r="G60" s="5" t="n">
        <f aca="false">LEN(F60)</f>
        <v>59</v>
      </c>
      <c r="H60" s="5" t="s">
        <v>510</v>
      </c>
      <c r="I60" s="5" t="n">
        <f aca="false">IF(H60="(none)",0,LEN(H60))</f>
        <v>133</v>
      </c>
      <c r="J60" s="6"/>
      <c r="K60" s="5" t="str">
        <f aca="false">IF(J60="","",LEN(J60))</f>
        <v/>
      </c>
      <c r="L60" s="5" t="str">
        <f aca="false">IF(J60="","",IF(LEN(J60)&gt;60,"Too long",IF(LEN(J60)&lt;50,"Too short","OK")))</f>
        <v/>
      </c>
      <c r="M60" s="6"/>
      <c r="N60" s="5" t="str">
        <f aca="false">IF(M60="","",LEN(M60))</f>
        <v/>
      </c>
      <c r="O60" s="5" t="str">
        <f aca="false">IF(M60="","",IF(LEN(M60)&gt;160,"Too long",IF(LEN(M60)&lt;140,"Too short","OK")))</f>
        <v/>
      </c>
      <c r="P60" s="5" t="s">
        <v>56</v>
      </c>
    </row>
    <row r="61" customFormat="false" ht="39.55" hidden="false" customHeight="false" outlineLevel="0" collapsed="false">
      <c r="A61" s="5" t="s">
        <v>511</v>
      </c>
      <c r="B61" s="5" t="s">
        <v>512</v>
      </c>
      <c r="C61" s="5"/>
      <c r="D61" s="5" t="str">
        <f aca="false">IF(AND(I61=0,G61&lt;35),"Title and description",IF(I61=0,"Description",IF(G61&lt;35,"Title",IF(OR(G61&gt;60,I61&gt;160),"Too long: trim","Nothing — keep"))))</f>
        <v>Nothing — keep</v>
      </c>
      <c r="E61" s="5" t="s">
        <v>51</v>
      </c>
      <c r="F61" s="5" t="s">
        <v>513</v>
      </c>
      <c r="G61" s="5" t="n">
        <f aca="false">LEN(F61)</f>
        <v>58</v>
      </c>
      <c r="H61" s="5" t="s">
        <v>514</v>
      </c>
      <c r="I61" s="5" t="n">
        <f aca="false">IF(H61="(none)",0,LEN(H61))</f>
        <v>133</v>
      </c>
      <c r="J61" s="6"/>
      <c r="K61" s="5" t="str">
        <f aca="false">IF(J61="","",LEN(J61))</f>
        <v/>
      </c>
      <c r="L61" s="5" t="str">
        <f aca="false">IF(J61="","",IF(LEN(J61)&gt;60,"Too long",IF(LEN(J61)&lt;50,"Too short","OK")))</f>
        <v/>
      </c>
      <c r="M61" s="6"/>
      <c r="N61" s="5" t="str">
        <f aca="false">IF(M61="","",LEN(M61))</f>
        <v/>
      </c>
      <c r="O61" s="5" t="str">
        <f aca="false">IF(M61="","",IF(LEN(M61)&gt;160,"Too long",IF(LEN(M61)&lt;140,"Too short","OK")))</f>
        <v/>
      </c>
      <c r="P61" s="5" t="s">
        <v>56</v>
      </c>
    </row>
    <row r="62" customFormat="false" ht="39.55" hidden="false" customHeight="false" outlineLevel="0" collapsed="false">
      <c r="A62" s="5" t="s">
        <v>515</v>
      </c>
      <c r="B62" s="5" t="s">
        <v>516</v>
      </c>
      <c r="C62" s="5"/>
      <c r="D62" s="5" t="str">
        <f aca="false">IF(AND(I62=0,G62&lt;35),"Title and description",IF(I62=0,"Description",IF(G62&lt;35,"Title",IF(OR(G62&gt;60,I62&gt;160),"Too long: trim","Nothing — keep"))))</f>
        <v>Too long: trim</v>
      </c>
      <c r="E62" s="5" t="s">
        <v>333</v>
      </c>
      <c r="F62" s="5" t="s">
        <v>517</v>
      </c>
      <c r="G62" s="5" t="n">
        <f aca="false">LEN(F62)</f>
        <v>51</v>
      </c>
      <c r="H62" s="5" t="s">
        <v>518</v>
      </c>
      <c r="I62" s="5" t="n">
        <f aca="false">IF(H62="(none)",0,LEN(H62))</f>
        <v>166</v>
      </c>
      <c r="J62" s="6"/>
      <c r="K62" s="5" t="str">
        <f aca="false">IF(J62="","",LEN(J62))</f>
        <v/>
      </c>
      <c r="L62" s="5" t="str">
        <f aca="false">IF(J62="","",IF(LEN(J62)&gt;60,"Too long",IF(LEN(J62)&lt;50,"Too short","OK")))</f>
        <v/>
      </c>
      <c r="M62" s="6"/>
      <c r="N62" s="5" t="str">
        <f aca="false">IF(M62="","",LEN(M62))</f>
        <v/>
      </c>
      <c r="O62" s="5" t="str">
        <f aca="false">IF(M62="","",IF(LEN(M62)&gt;160,"Too long",IF(LEN(M62)&lt;140,"Too short","OK")))</f>
        <v/>
      </c>
      <c r="P62" s="5" t="s">
        <v>56</v>
      </c>
    </row>
    <row r="63" customFormat="false" ht="26.85" hidden="false" customHeight="false" outlineLevel="0" collapsed="false">
      <c r="A63" s="5" t="s">
        <v>519</v>
      </c>
      <c r="B63" s="5" t="s">
        <v>520</v>
      </c>
      <c r="C63" s="5"/>
      <c r="D63" s="5" t="str">
        <f aca="false">IF(AND(I63=0,G63&lt;35),"Title and description",IF(I63=0,"Description",IF(G63&lt;35,"Title",IF(OR(G63&gt;60,I63&gt;160),"Too long: trim","Nothing — keep"))))</f>
        <v>Title and description</v>
      </c>
      <c r="E63" s="5" t="s">
        <v>51</v>
      </c>
      <c r="F63" s="5" t="s">
        <v>521</v>
      </c>
      <c r="G63" s="5" t="n">
        <f aca="false">LEN(F63)</f>
        <v>29</v>
      </c>
      <c r="H63" s="5" t="s">
        <v>88</v>
      </c>
      <c r="I63" s="5" t="n">
        <f aca="false">IF(H63="(none)",0,LEN(H63))</f>
        <v>0</v>
      </c>
      <c r="J63" s="6"/>
      <c r="K63" s="5" t="str">
        <f aca="false">IF(J63="","",LEN(J63))</f>
        <v/>
      </c>
      <c r="L63" s="5" t="str">
        <f aca="false">IF(J63="","",IF(LEN(J63)&gt;60,"Too long",IF(LEN(J63)&lt;50,"Too short","OK")))</f>
        <v/>
      </c>
      <c r="M63" s="6"/>
      <c r="N63" s="5" t="str">
        <f aca="false">IF(M63="","",LEN(M63))</f>
        <v/>
      </c>
      <c r="O63" s="5" t="str">
        <f aca="false">IF(M63="","",IF(LEN(M63)&gt;160,"Too long",IF(LEN(M63)&lt;140,"Too short","OK")))</f>
        <v/>
      </c>
      <c r="P63" s="5" t="s">
        <v>56</v>
      </c>
    </row>
    <row r="64" customFormat="false" ht="26.85" hidden="false" customHeight="false" outlineLevel="0" collapsed="false">
      <c r="A64" s="5" t="s">
        <v>522</v>
      </c>
      <c r="B64" s="5" t="s">
        <v>523</v>
      </c>
      <c r="C64" s="5"/>
      <c r="D64" s="5" t="str">
        <f aca="false">IF(AND(I64=0,G64&lt;35),"Title and description",IF(I64=0,"Description",IF(G64&lt;35,"Title",IF(OR(G64&gt;60,I64&gt;160),"Too long: trim","Nothing — keep"))))</f>
        <v>Title and description</v>
      </c>
      <c r="E64" s="5" t="s">
        <v>51</v>
      </c>
      <c r="F64" s="5" t="s">
        <v>524</v>
      </c>
      <c r="G64" s="5" t="n">
        <f aca="false">LEN(F64)</f>
        <v>21</v>
      </c>
      <c r="H64" s="5" t="s">
        <v>88</v>
      </c>
      <c r="I64" s="5" t="n">
        <f aca="false">IF(H64="(none)",0,LEN(H64))</f>
        <v>0</v>
      </c>
      <c r="J64" s="6"/>
      <c r="K64" s="5" t="str">
        <f aca="false">IF(J64="","",LEN(J64))</f>
        <v/>
      </c>
      <c r="L64" s="5" t="str">
        <f aca="false">IF(J64="","",IF(LEN(J64)&gt;60,"Too long",IF(LEN(J64)&lt;50,"Too short","OK")))</f>
        <v/>
      </c>
      <c r="M64" s="6"/>
      <c r="N64" s="5" t="str">
        <f aca="false">IF(M64="","",LEN(M64))</f>
        <v/>
      </c>
      <c r="O64" s="5" t="str">
        <f aca="false">IF(M64="","",IF(LEN(M64)&gt;160,"Too long",IF(LEN(M64)&lt;140,"Too short","OK")))</f>
        <v/>
      </c>
      <c r="P64" s="5" t="s">
        <v>56</v>
      </c>
    </row>
    <row r="65" customFormat="false" ht="39.55" hidden="false" customHeight="false" outlineLevel="0" collapsed="false">
      <c r="A65" s="5" t="s">
        <v>525</v>
      </c>
      <c r="B65" s="5" t="s">
        <v>526</v>
      </c>
      <c r="C65" s="5"/>
      <c r="D65" s="5" t="str">
        <f aca="false">IF(AND(I65=0,G65&lt;35),"Title and description",IF(I65=0,"Description",IF(G65&lt;35,"Title",IF(OR(G65&gt;60,I65&gt;160),"Too long: trim","Nothing — keep"))))</f>
        <v>Nothing — keep</v>
      </c>
      <c r="E65" s="5" t="s">
        <v>51</v>
      </c>
      <c r="F65" s="5" t="s">
        <v>527</v>
      </c>
      <c r="G65" s="5" t="n">
        <f aca="false">LEN(F65)</f>
        <v>38</v>
      </c>
      <c r="H65" s="5" t="s">
        <v>528</v>
      </c>
      <c r="I65" s="5" t="n">
        <f aca="false">IF(H65="(none)",0,LEN(H65))</f>
        <v>151</v>
      </c>
      <c r="J65" s="6"/>
      <c r="K65" s="5" t="str">
        <f aca="false">IF(J65="","",LEN(J65))</f>
        <v/>
      </c>
      <c r="L65" s="5" t="str">
        <f aca="false">IF(J65="","",IF(LEN(J65)&gt;60,"Too long",IF(LEN(J65)&lt;50,"Too short","OK")))</f>
        <v/>
      </c>
      <c r="M65" s="6"/>
      <c r="N65" s="5" t="str">
        <f aca="false">IF(M65="","",LEN(M65))</f>
        <v/>
      </c>
      <c r="O65" s="5" t="str">
        <f aca="false">IF(M65="","",IF(LEN(M65)&gt;160,"Too long",IF(LEN(M65)&lt;140,"Too short","OK")))</f>
        <v/>
      </c>
      <c r="P65" s="5" t="s">
        <v>56</v>
      </c>
    </row>
    <row r="66" customFormat="false" ht="15" hidden="false" customHeight="false" outlineLevel="0" collapsed="false">
      <c r="A66" s="5" t="s">
        <v>529</v>
      </c>
      <c r="B66" s="5" t="s">
        <v>530</v>
      </c>
      <c r="C66" s="5"/>
      <c r="D66" s="5" t="str">
        <f aca="false">IF(AND(I66=0,G66&lt;35),"Title and description",IF(I66=0,"Description",IF(G66&lt;35,"Title",IF(OR(G66&gt;60,I66&gt;160),"Too long: trim","Nothing — keep"))))</f>
        <v>Title and description</v>
      </c>
      <c r="E66" s="5" t="s">
        <v>333</v>
      </c>
      <c r="F66" s="5" t="s">
        <v>531</v>
      </c>
      <c r="G66" s="5" t="n">
        <f aca="false">LEN(F66)</f>
        <v>24</v>
      </c>
      <c r="H66" s="5" t="s">
        <v>88</v>
      </c>
      <c r="I66" s="5" t="n">
        <f aca="false">IF(H66="(none)",0,LEN(H66))</f>
        <v>0</v>
      </c>
      <c r="J66" s="6"/>
      <c r="K66" s="5" t="str">
        <f aca="false">IF(J66="","",LEN(J66))</f>
        <v/>
      </c>
      <c r="L66" s="5" t="str">
        <f aca="false">IF(J66="","",IF(LEN(J66)&gt;60,"Too long",IF(LEN(J66)&lt;50,"Too short","OK")))</f>
        <v/>
      </c>
      <c r="M66" s="6"/>
      <c r="N66" s="5" t="str">
        <f aca="false">IF(M66="","",LEN(M66))</f>
        <v/>
      </c>
      <c r="O66" s="5" t="str">
        <f aca="false">IF(M66="","",IF(LEN(M66)&gt;160,"Too long",IF(LEN(M66)&lt;140,"Too short","OK")))</f>
        <v/>
      </c>
      <c r="P66" s="5" t="s">
        <v>56</v>
      </c>
    </row>
    <row r="67" customFormat="false" ht="39.55" hidden="false" customHeight="false" outlineLevel="0" collapsed="false">
      <c r="A67" s="5" t="s">
        <v>532</v>
      </c>
      <c r="B67" s="5" t="s">
        <v>533</v>
      </c>
      <c r="C67" s="5"/>
      <c r="D67" s="5" t="str">
        <f aca="false">IF(AND(I67=0,G67&lt;35),"Title and description",IF(I67=0,"Description",IF(G67&lt;35,"Title",IF(OR(G67&gt;60,I67&gt;160),"Too long: trim","Nothing — keep"))))</f>
        <v>Nothing — keep</v>
      </c>
      <c r="E67" s="5" t="s">
        <v>51</v>
      </c>
      <c r="F67" s="5" t="s">
        <v>534</v>
      </c>
      <c r="G67" s="5" t="n">
        <f aca="false">LEN(F67)</f>
        <v>56</v>
      </c>
      <c r="H67" s="5" t="s">
        <v>535</v>
      </c>
      <c r="I67" s="5" t="n">
        <f aca="false">IF(H67="(none)",0,LEN(H67))</f>
        <v>132</v>
      </c>
      <c r="J67" s="6"/>
      <c r="K67" s="5" t="str">
        <f aca="false">IF(J67="","",LEN(J67))</f>
        <v/>
      </c>
      <c r="L67" s="5" t="str">
        <f aca="false">IF(J67="","",IF(LEN(J67)&gt;60,"Too long",IF(LEN(J67)&lt;50,"Too short","OK")))</f>
        <v/>
      </c>
      <c r="M67" s="6"/>
      <c r="N67" s="5" t="str">
        <f aca="false">IF(M67="","",LEN(M67))</f>
        <v/>
      </c>
      <c r="O67" s="5" t="str">
        <f aca="false">IF(M67="","",IF(LEN(M67)&gt;160,"Too long",IF(LEN(M67)&lt;140,"Too short","OK")))</f>
        <v/>
      </c>
      <c r="P67" s="5" t="s">
        <v>56</v>
      </c>
    </row>
    <row r="68" customFormat="false" ht="39.55" hidden="false" customHeight="false" outlineLevel="0" collapsed="false">
      <c r="A68" s="5" t="s">
        <v>536</v>
      </c>
      <c r="B68" s="5" t="s">
        <v>537</v>
      </c>
      <c r="C68" s="5"/>
      <c r="D68" s="5" t="str">
        <f aca="false">IF(AND(I68=0,G68&lt;35),"Title and description",IF(I68=0,"Description",IF(G68&lt;35,"Title",IF(OR(G68&gt;60,I68&gt;160),"Too long: trim","Nothing — keep"))))</f>
        <v>Too long: trim</v>
      </c>
      <c r="E68" s="5" t="s">
        <v>51</v>
      </c>
      <c r="F68" s="5" t="s">
        <v>538</v>
      </c>
      <c r="G68" s="5" t="n">
        <f aca="false">LEN(F68)</f>
        <v>62</v>
      </c>
      <c r="H68" s="5" t="s">
        <v>539</v>
      </c>
      <c r="I68" s="5" t="n">
        <f aca="false">IF(H68="(none)",0,LEN(H68))</f>
        <v>155</v>
      </c>
      <c r="J68" s="6"/>
      <c r="K68" s="5" t="str">
        <f aca="false">IF(J68="","",LEN(J68))</f>
        <v/>
      </c>
      <c r="L68" s="5" t="str">
        <f aca="false">IF(J68="","",IF(LEN(J68)&gt;60,"Too long",IF(LEN(J68)&lt;50,"Too short","OK")))</f>
        <v/>
      </c>
      <c r="M68" s="6"/>
      <c r="N68" s="5" t="str">
        <f aca="false">IF(M68="","",LEN(M68))</f>
        <v/>
      </c>
      <c r="O68" s="5" t="str">
        <f aca="false">IF(M68="","",IF(LEN(M68)&gt;160,"Too long",IF(LEN(M68)&lt;140,"Too short","OK")))</f>
        <v/>
      </c>
      <c r="P68" s="5" t="s">
        <v>56</v>
      </c>
    </row>
    <row r="69" customFormat="false" ht="39.55" hidden="false" customHeight="false" outlineLevel="0" collapsed="false">
      <c r="A69" s="5" t="s">
        <v>540</v>
      </c>
      <c r="B69" s="5" t="s">
        <v>541</v>
      </c>
      <c r="C69" s="5"/>
      <c r="D69" s="5" t="str">
        <f aca="false">IF(AND(I69=0,G69&lt;35),"Title and description",IF(I69=0,"Description",IF(G69&lt;35,"Title",IF(OR(G69&gt;60,I69&gt;160),"Too long: trim","Nothing — keep"))))</f>
        <v>Title</v>
      </c>
      <c r="E69" s="5" t="s">
        <v>51</v>
      </c>
      <c r="F69" s="5" t="s">
        <v>542</v>
      </c>
      <c r="G69" s="5" t="n">
        <f aca="false">LEN(F69)</f>
        <v>23</v>
      </c>
      <c r="H69" s="5" t="s">
        <v>543</v>
      </c>
      <c r="I69" s="5" t="n">
        <f aca="false">IF(H69="(none)",0,LEN(H69))</f>
        <v>164</v>
      </c>
      <c r="J69" s="6"/>
      <c r="K69" s="5" t="str">
        <f aca="false">IF(J69="","",LEN(J69))</f>
        <v/>
      </c>
      <c r="L69" s="5" t="str">
        <f aca="false">IF(J69="","",IF(LEN(J69)&gt;60,"Too long",IF(LEN(J69)&lt;50,"Too short","OK")))</f>
        <v/>
      </c>
      <c r="M69" s="6"/>
      <c r="N69" s="5" t="str">
        <f aca="false">IF(M69="","",LEN(M69))</f>
        <v/>
      </c>
      <c r="O69" s="5" t="str">
        <f aca="false">IF(M69="","",IF(LEN(M69)&gt;160,"Too long",IF(LEN(M69)&lt;140,"Too short","OK")))</f>
        <v/>
      </c>
      <c r="P69" s="5" t="s">
        <v>56</v>
      </c>
    </row>
    <row r="70" customFormat="false" ht="26.85" hidden="false" customHeight="false" outlineLevel="0" collapsed="false">
      <c r="A70" s="5" t="s">
        <v>544</v>
      </c>
      <c r="B70" s="5" t="s">
        <v>545</v>
      </c>
      <c r="C70" s="5"/>
      <c r="D70" s="5" t="str">
        <f aca="false">IF(AND(I70=0,G70&lt;35),"Title and description",IF(I70=0,"Description",IF(G70&lt;35,"Title",IF(OR(G70&gt;60,I70&gt;160),"Too long: trim","Nothing — keep"))))</f>
        <v>Title and description</v>
      </c>
      <c r="E70" s="5" t="s">
        <v>333</v>
      </c>
      <c r="F70" s="5" t="s">
        <v>546</v>
      </c>
      <c r="G70" s="5" t="n">
        <f aca="false">LEN(F70)</f>
        <v>32</v>
      </c>
      <c r="H70" s="5" t="s">
        <v>88</v>
      </c>
      <c r="I70" s="5" t="n">
        <f aca="false">IF(H70="(none)",0,LEN(H70))</f>
        <v>0</v>
      </c>
      <c r="J70" s="6"/>
      <c r="K70" s="5" t="str">
        <f aca="false">IF(J70="","",LEN(J70))</f>
        <v/>
      </c>
      <c r="L70" s="5" t="str">
        <f aca="false">IF(J70="","",IF(LEN(J70)&gt;60,"Too long",IF(LEN(J70)&lt;50,"Too short","OK")))</f>
        <v/>
      </c>
      <c r="M70" s="6"/>
      <c r="N70" s="5" t="str">
        <f aca="false">IF(M70="","",LEN(M70))</f>
        <v/>
      </c>
      <c r="O70" s="5" t="str">
        <f aca="false">IF(M70="","",IF(LEN(M70)&gt;160,"Too long",IF(LEN(M70)&lt;140,"Too short","OK")))</f>
        <v/>
      </c>
      <c r="P70" s="5" t="s">
        <v>56</v>
      </c>
    </row>
    <row r="71" customFormat="false" ht="39.55" hidden="false" customHeight="false" outlineLevel="0" collapsed="false">
      <c r="A71" s="5" t="s">
        <v>547</v>
      </c>
      <c r="B71" s="5" t="s">
        <v>548</v>
      </c>
      <c r="C71" s="5"/>
      <c r="D71" s="5" t="str">
        <f aca="false">IF(AND(I71=0,G71&lt;35),"Title and description",IF(I71=0,"Description",IF(G71&lt;35,"Title",IF(OR(G71&gt;60,I71&gt;160),"Too long: trim","Nothing — keep"))))</f>
        <v>Nothing — keep</v>
      </c>
      <c r="E71" s="5" t="s">
        <v>51</v>
      </c>
      <c r="F71" s="5" t="s">
        <v>549</v>
      </c>
      <c r="G71" s="5" t="n">
        <f aca="false">LEN(F71)</f>
        <v>56</v>
      </c>
      <c r="H71" s="5" t="s">
        <v>550</v>
      </c>
      <c r="I71" s="5" t="n">
        <f aca="false">IF(H71="(none)",0,LEN(H71))</f>
        <v>157</v>
      </c>
      <c r="J71" s="6"/>
      <c r="K71" s="5" t="str">
        <f aca="false">IF(J71="","",LEN(J71))</f>
        <v/>
      </c>
      <c r="L71" s="5" t="str">
        <f aca="false">IF(J71="","",IF(LEN(J71)&gt;60,"Too long",IF(LEN(J71)&lt;50,"Too short","OK")))</f>
        <v/>
      </c>
      <c r="M71" s="6"/>
      <c r="N71" s="5" t="str">
        <f aca="false">IF(M71="","",LEN(M71))</f>
        <v/>
      </c>
      <c r="O71" s="5" t="str">
        <f aca="false">IF(M71="","",IF(LEN(M71)&gt;160,"Too long",IF(LEN(M71)&lt;140,"Too short","OK")))</f>
        <v/>
      </c>
      <c r="P71" s="5" t="s">
        <v>56</v>
      </c>
    </row>
    <row r="72" customFormat="false" ht="39.55" hidden="false" customHeight="false" outlineLevel="0" collapsed="false">
      <c r="A72" s="5" t="s">
        <v>551</v>
      </c>
      <c r="B72" s="5" t="s">
        <v>552</v>
      </c>
      <c r="C72" s="5"/>
      <c r="D72" s="5" t="str">
        <f aca="false">IF(AND(I72=0,G72&lt;35),"Title and description",IF(I72=0,"Description",IF(G72&lt;35,"Title",IF(OR(G72&gt;60,I72&gt;160),"Too long: trim","Nothing — keep"))))</f>
        <v>Too long: trim</v>
      </c>
      <c r="E72" s="5" t="s">
        <v>51</v>
      </c>
      <c r="F72" s="5" t="s">
        <v>553</v>
      </c>
      <c r="G72" s="5" t="n">
        <f aca="false">LEN(F72)</f>
        <v>64</v>
      </c>
      <c r="H72" s="5" t="s">
        <v>554</v>
      </c>
      <c r="I72" s="5" t="n">
        <f aca="false">IF(H72="(none)",0,LEN(H72))</f>
        <v>160</v>
      </c>
      <c r="J72" s="6"/>
      <c r="K72" s="5" t="str">
        <f aca="false">IF(J72="","",LEN(J72))</f>
        <v/>
      </c>
      <c r="L72" s="5" t="str">
        <f aca="false">IF(J72="","",IF(LEN(J72)&gt;60,"Too long",IF(LEN(J72)&lt;50,"Too short","OK")))</f>
        <v/>
      </c>
      <c r="M72" s="6"/>
      <c r="N72" s="5" t="str">
        <f aca="false">IF(M72="","",LEN(M72))</f>
        <v/>
      </c>
      <c r="O72" s="5" t="str">
        <f aca="false">IF(M72="","",IF(LEN(M72)&gt;160,"Too long",IF(LEN(M72)&lt;140,"Too short","OK")))</f>
        <v/>
      </c>
      <c r="P72" s="5" t="s">
        <v>56</v>
      </c>
    </row>
    <row r="73" customFormat="false" ht="39.55" hidden="false" customHeight="false" outlineLevel="0" collapsed="false">
      <c r="A73" s="5" t="s">
        <v>555</v>
      </c>
      <c r="B73" s="5" t="s">
        <v>556</v>
      </c>
      <c r="C73" s="5"/>
      <c r="D73" s="5" t="str">
        <f aca="false">IF(AND(I73=0,G73&lt;35),"Title and description",IF(I73=0,"Description",IF(G73&lt;35,"Title",IF(OR(G73&gt;60,I73&gt;160),"Too long: trim","Nothing — keep"))))</f>
        <v>Too long: trim</v>
      </c>
      <c r="E73" s="5" t="s">
        <v>51</v>
      </c>
      <c r="F73" s="5" t="s">
        <v>557</v>
      </c>
      <c r="G73" s="5" t="n">
        <f aca="false">LEN(F73)</f>
        <v>71</v>
      </c>
      <c r="H73" s="5" t="s">
        <v>558</v>
      </c>
      <c r="I73" s="5" t="n">
        <f aca="false">IF(H73="(none)",0,LEN(H73))</f>
        <v>151</v>
      </c>
      <c r="J73" s="6"/>
      <c r="K73" s="5" t="str">
        <f aca="false">IF(J73="","",LEN(J73))</f>
        <v/>
      </c>
      <c r="L73" s="5" t="str">
        <f aca="false">IF(J73="","",IF(LEN(J73)&gt;60,"Too long",IF(LEN(J73)&lt;50,"Too short","OK")))</f>
        <v/>
      </c>
      <c r="M73" s="6"/>
      <c r="N73" s="5" t="str">
        <f aca="false">IF(M73="","",LEN(M73))</f>
        <v/>
      </c>
      <c r="O73" s="5" t="str">
        <f aca="false">IF(M73="","",IF(LEN(M73)&gt;160,"Too long",IF(LEN(M73)&lt;140,"Too short","OK")))</f>
        <v/>
      </c>
      <c r="P73" s="5" t="s">
        <v>56</v>
      </c>
    </row>
    <row r="74" customFormat="false" ht="39.55" hidden="false" customHeight="false" outlineLevel="0" collapsed="false">
      <c r="A74" s="5" t="s">
        <v>559</v>
      </c>
      <c r="B74" s="5" t="s">
        <v>560</v>
      </c>
      <c r="C74" s="5"/>
      <c r="D74" s="5" t="str">
        <f aca="false">IF(AND(I74=0,G74&lt;35),"Title and description",IF(I74=0,"Description",IF(G74&lt;35,"Title",IF(OR(G74&gt;60,I74&gt;160),"Too long: trim","Nothing — keep"))))</f>
        <v>Too long: trim</v>
      </c>
      <c r="E74" s="5" t="s">
        <v>51</v>
      </c>
      <c r="F74" s="5" t="s">
        <v>561</v>
      </c>
      <c r="G74" s="5" t="n">
        <f aca="false">LEN(F74)</f>
        <v>46</v>
      </c>
      <c r="H74" s="5" t="s">
        <v>562</v>
      </c>
      <c r="I74" s="5" t="n">
        <f aca="false">IF(H74="(none)",0,LEN(H74))</f>
        <v>174</v>
      </c>
      <c r="J74" s="6"/>
      <c r="K74" s="5" t="str">
        <f aca="false">IF(J74="","",LEN(J74))</f>
        <v/>
      </c>
      <c r="L74" s="5" t="str">
        <f aca="false">IF(J74="","",IF(LEN(J74)&gt;60,"Too long",IF(LEN(J74)&lt;50,"Too short","OK")))</f>
        <v/>
      </c>
      <c r="M74" s="6"/>
      <c r="N74" s="5" t="str">
        <f aca="false">IF(M74="","",LEN(M74))</f>
        <v/>
      </c>
      <c r="O74" s="5" t="str">
        <f aca="false">IF(M74="","",IF(LEN(M74)&gt;160,"Too long",IF(LEN(M74)&lt;140,"Too short","OK")))</f>
        <v/>
      </c>
      <c r="P74" s="5" t="s">
        <v>56</v>
      </c>
    </row>
    <row r="75" customFormat="false" ht="39.55" hidden="false" customHeight="false" outlineLevel="0" collapsed="false">
      <c r="A75" s="5" t="s">
        <v>563</v>
      </c>
      <c r="B75" s="5" t="s">
        <v>564</v>
      </c>
      <c r="C75" s="5"/>
      <c r="D75" s="5" t="str">
        <f aca="false">IF(AND(I75=0,G75&lt;35),"Title and description",IF(I75=0,"Description",IF(G75&lt;35,"Title",IF(OR(G75&gt;60,I75&gt;160),"Too long: trim","Nothing — keep"))))</f>
        <v>Nothing — keep</v>
      </c>
      <c r="E75" s="5" t="s">
        <v>51</v>
      </c>
      <c r="F75" s="5" t="s">
        <v>565</v>
      </c>
      <c r="G75" s="5" t="n">
        <f aca="false">LEN(F75)</f>
        <v>55</v>
      </c>
      <c r="H75" s="5" t="s">
        <v>566</v>
      </c>
      <c r="I75" s="5" t="n">
        <f aca="false">IF(H75="(none)",0,LEN(H75))</f>
        <v>160</v>
      </c>
      <c r="J75" s="6"/>
      <c r="K75" s="5" t="str">
        <f aca="false">IF(J75="","",LEN(J75))</f>
        <v/>
      </c>
      <c r="L75" s="5" t="str">
        <f aca="false">IF(J75="","",IF(LEN(J75)&gt;60,"Too long",IF(LEN(J75)&lt;50,"Too short","OK")))</f>
        <v/>
      </c>
      <c r="M75" s="6"/>
      <c r="N75" s="5" t="str">
        <f aca="false">IF(M75="","",LEN(M75))</f>
        <v/>
      </c>
      <c r="O75" s="5" t="str">
        <f aca="false">IF(M75="","",IF(LEN(M75)&gt;160,"Too long",IF(LEN(M75)&lt;140,"Too short","OK")))</f>
        <v/>
      </c>
      <c r="P75" s="5" t="s">
        <v>56</v>
      </c>
    </row>
    <row r="76" customFormat="false" ht="39.55" hidden="false" customHeight="false" outlineLevel="0" collapsed="false">
      <c r="A76" s="5" t="s">
        <v>567</v>
      </c>
      <c r="B76" s="5" t="s">
        <v>568</v>
      </c>
      <c r="C76" s="5"/>
      <c r="D76" s="5" t="str">
        <f aca="false">IF(AND(I76=0,G76&lt;35),"Title and description",IF(I76=0,"Description",IF(G76&lt;35,"Title",IF(OR(G76&gt;60,I76&gt;160),"Too long: trim","Nothing — keep"))))</f>
        <v>Nothing — keep</v>
      </c>
      <c r="E76" s="5" t="s">
        <v>51</v>
      </c>
      <c r="F76" s="5" t="s">
        <v>569</v>
      </c>
      <c r="G76" s="5" t="n">
        <f aca="false">LEN(F76)</f>
        <v>48</v>
      </c>
      <c r="H76" s="5" t="s">
        <v>570</v>
      </c>
      <c r="I76" s="5" t="n">
        <f aca="false">IF(H76="(none)",0,LEN(H76))</f>
        <v>160</v>
      </c>
      <c r="J76" s="6"/>
      <c r="K76" s="5" t="str">
        <f aca="false">IF(J76="","",LEN(J76))</f>
        <v/>
      </c>
      <c r="L76" s="5" t="str">
        <f aca="false">IF(J76="","",IF(LEN(J76)&gt;60,"Too long",IF(LEN(J76)&lt;50,"Too short","OK")))</f>
        <v/>
      </c>
      <c r="M76" s="6"/>
      <c r="N76" s="5" t="str">
        <f aca="false">IF(M76="","",LEN(M76))</f>
        <v/>
      </c>
      <c r="O76" s="5" t="str">
        <f aca="false">IF(M76="","",IF(LEN(M76)&gt;160,"Too long",IF(LEN(M76)&lt;140,"Too short","OK")))</f>
        <v/>
      </c>
      <c r="P76" s="5" t="s">
        <v>56</v>
      </c>
    </row>
    <row r="77" customFormat="false" ht="26.85" hidden="false" customHeight="false" outlineLevel="0" collapsed="false">
      <c r="A77" s="5" t="s">
        <v>571</v>
      </c>
      <c r="B77" s="5" t="s">
        <v>572</v>
      </c>
      <c r="C77" s="5"/>
      <c r="D77" s="5" t="str">
        <f aca="false">IF(AND(I77=0,G77&lt;35),"Title and description",IF(I77=0,"Description",IF(G77&lt;35,"Title",IF(OR(G77&gt;60,I77&gt;160),"Too long: trim","Nothing — keep"))))</f>
        <v>Title and description</v>
      </c>
      <c r="E77" s="5" t="s">
        <v>51</v>
      </c>
      <c r="F77" s="5" t="s">
        <v>573</v>
      </c>
      <c r="G77" s="5" t="n">
        <f aca="false">LEN(F77)</f>
        <v>24</v>
      </c>
      <c r="H77" s="5" t="s">
        <v>88</v>
      </c>
      <c r="I77" s="5" t="n">
        <f aca="false">IF(H77="(none)",0,LEN(H77))</f>
        <v>0</v>
      </c>
      <c r="J77" s="6"/>
      <c r="K77" s="5" t="str">
        <f aca="false">IF(J77="","",LEN(J77))</f>
        <v/>
      </c>
      <c r="L77" s="5" t="str">
        <f aca="false">IF(J77="","",IF(LEN(J77)&gt;60,"Too long",IF(LEN(J77)&lt;50,"Too short","OK")))</f>
        <v/>
      </c>
      <c r="M77" s="6"/>
      <c r="N77" s="5" t="str">
        <f aca="false">IF(M77="","",LEN(M77))</f>
        <v/>
      </c>
      <c r="O77" s="5" t="str">
        <f aca="false">IF(M77="","",IF(LEN(M77)&gt;160,"Too long",IF(LEN(M77)&lt;140,"Too short","OK")))</f>
        <v/>
      </c>
      <c r="P77" s="5" t="s">
        <v>56</v>
      </c>
    </row>
    <row r="78" customFormat="false" ht="39.55" hidden="false" customHeight="false" outlineLevel="0" collapsed="false">
      <c r="A78" s="5" t="s">
        <v>574</v>
      </c>
      <c r="B78" s="5" t="s">
        <v>575</v>
      </c>
      <c r="C78" s="5"/>
      <c r="D78" s="5" t="str">
        <f aca="false">IF(AND(I78=0,G78&lt;35),"Title and description",IF(I78=0,"Description",IF(G78&lt;35,"Title",IF(OR(G78&gt;60,I78&gt;160),"Too long: trim","Nothing — keep"))))</f>
        <v>Too long: trim</v>
      </c>
      <c r="E78" s="5" t="s">
        <v>51</v>
      </c>
      <c r="F78" s="5" t="s">
        <v>576</v>
      </c>
      <c r="G78" s="5" t="n">
        <f aca="false">LEN(F78)</f>
        <v>38</v>
      </c>
      <c r="H78" s="5" t="s">
        <v>577</v>
      </c>
      <c r="I78" s="5" t="n">
        <f aca="false">IF(H78="(none)",0,LEN(H78))</f>
        <v>170</v>
      </c>
      <c r="J78" s="6"/>
      <c r="K78" s="5" t="str">
        <f aca="false">IF(J78="","",LEN(J78))</f>
        <v/>
      </c>
      <c r="L78" s="5" t="str">
        <f aca="false">IF(J78="","",IF(LEN(J78)&gt;60,"Too long",IF(LEN(J78)&lt;50,"Too short","OK")))</f>
        <v/>
      </c>
      <c r="M78" s="6"/>
      <c r="N78" s="5" t="str">
        <f aca="false">IF(M78="","",LEN(M78))</f>
        <v/>
      </c>
      <c r="O78" s="5" t="str">
        <f aca="false">IF(M78="","",IF(LEN(M78)&gt;160,"Too long",IF(LEN(M78)&lt;140,"Too short","OK")))</f>
        <v/>
      </c>
      <c r="P78" s="5" t="s">
        <v>56</v>
      </c>
    </row>
    <row r="79" customFormat="false" ht="26.85" hidden="false" customHeight="false" outlineLevel="0" collapsed="false">
      <c r="A79" s="5" t="s">
        <v>578</v>
      </c>
      <c r="B79" s="5" t="s">
        <v>579</v>
      </c>
      <c r="C79" s="5"/>
      <c r="D79" s="5" t="str">
        <f aca="false">IF(AND(I79=0,G79&lt;35),"Title and description",IF(I79=0,"Description",IF(G79&lt;35,"Title",IF(OR(G79&gt;60,I79&gt;160),"Too long: trim","Nothing — keep"))))</f>
        <v>Title and description</v>
      </c>
      <c r="E79" s="5" t="s">
        <v>333</v>
      </c>
      <c r="F79" s="5" t="s">
        <v>580</v>
      </c>
      <c r="G79" s="5" t="n">
        <f aca="false">LEN(F79)</f>
        <v>30</v>
      </c>
      <c r="H79" s="5" t="s">
        <v>88</v>
      </c>
      <c r="I79" s="5" t="n">
        <f aca="false">IF(H79="(none)",0,LEN(H79))</f>
        <v>0</v>
      </c>
      <c r="J79" s="6"/>
      <c r="K79" s="5" t="str">
        <f aca="false">IF(J79="","",LEN(J79))</f>
        <v/>
      </c>
      <c r="L79" s="5" t="str">
        <f aca="false">IF(J79="","",IF(LEN(J79)&gt;60,"Too long",IF(LEN(J79)&lt;50,"Too short","OK")))</f>
        <v/>
      </c>
      <c r="M79" s="6"/>
      <c r="N79" s="5" t="str">
        <f aca="false">IF(M79="","",LEN(M79))</f>
        <v/>
      </c>
      <c r="O79" s="5" t="str">
        <f aca="false">IF(M79="","",IF(LEN(M79)&gt;160,"Too long",IF(LEN(M79)&lt;140,"Too short","OK")))</f>
        <v/>
      </c>
      <c r="P79" s="5" t="s">
        <v>56</v>
      </c>
    </row>
    <row r="80" customFormat="false" ht="39.55" hidden="false" customHeight="false" outlineLevel="0" collapsed="false">
      <c r="A80" s="5" t="s">
        <v>581</v>
      </c>
      <c r="B80" s="5" t="s">
        <v>582</v>
      </c>
      <c r="C80" s="5"/>
      <c r="D80" s="5" t="str">
        <f aca="false">IF(AND(I80=0,G80&lt;35),"Title and description",IF(I80=0,"Description",IF(G80&lt;35,"Title",IF(OR(G80&gt;60,I80&gt;160),"Too long: trim","Nothing — keep"))))</f>
        <v>Nothing — keep</v>
      </c>
      <c r="E80" s="5" t="s">
        <v>51</v>
      </c>
      <c r="F80" s="5" t="s">
        <v>583</v>
      </c>
      <c r="G80" s="5" t="n">
        <f aca="false">LEN(F80)</f>
        <v>60</v>
      </c>
      <c r="H80" s="5" t="s">
        <v>584</v>
      </c>
      <c r="I80" s="5" t="n">
        <f aca="false">IF(H80="(none)",0,LEN(H80))</f>
        <v>146</v>
      </c>
      <c r="J80" s="6"/>
      <c r="K80" s="5" t="str">
        <f aca="false">IF(J80="","",LEN(J80))</f>
        <v/>
      </c>
      <c r="L80" s="5" t="str">
        <f aca="false">IF(J80="","",IF(LEN(J80)&gt;60,"Too long",IF(LEN(J80)&lt;50,"Too short","OK")))</f>
        <v/>
      </c>
      <c r="M80" s="6"/>
      <c r="N80" s="5" t="str">
        <f aca="false">IF(M80="","",LEN(M80))</f>
        <v/>
      </c>
      <c r="O80" s="5" t="str">
        <f aca="false">IF(M80="","",IF(LEN(M80)&gt;160,"Too long",IF(LEN(M80)&lt;140,"Too short","OK")))</f>
        <v/>
      </c>
      <c r="P80" s="5" t="s">
        <v>56</v>
      </c>
    </row>
    <row r="81" customFormat="false" ht="39.55" hidden="false" customHeight="false" outlineLevel="0" collapsed="false">
      <c r="A81" s="5" t="s">
        <v>585</v>
      </c>
      <c r="B81" s="5" t="s">
        <v>586</v>
      </c>
      <c r="C81" s="5"/>
      <c r="D81" s="5" t="str">
        <f aca="false">IF(AND(I81=0,G81&lt;35),"Title and description",IF(I81=0,"Description",IF(G81&lt;35,"Title",IF(OR(G81&gt;60,I81&gt;160),"Too long: trim","Nothing — keep"))))</f>
        <v>Nothing — keep</v>
      </c>
      <c r="E81" s="5" t="s">
        <v>51</v>
      </c>
      <c r="F81" s="5" t="s">
        <v>587</v>
      </c>
      <c r="G81" s="5" t="n">
        <f aca="false">LEN(F81)</f>
        <v>58</v>
      </c>
      <c r="H81" s="5" t="s">
        <v>588</v>
      </c>
      <c r="I81" s="5" t="n">
        <f aca="false">IF(H81="(none)",0,LEN(H81))</f>
        <v>143</v>
      </c>
      <c r="J81" s="6"/>
      <c r="K81" s="5" t="str">
        <f aca="false">IF(J81="","",LEN(J81))</f>
        <v/>
      </c>
      <c r="L81" s="5" t="str">
        <f aca="false">IF(J81="","",IF(LEN(J81)&gt;60,"Too long",IF(LEN(J81)&lt;50,"Too short","OK")))</f>
        <v/>
      </c>
      <c r="M81" s="6"/>
      <c r="N81" s="5" t="str">
        <f aca="false">IF(M81="","",LEN(M81))</f>
        <v/>
      </c>
      <c r="O81" s="5" t="str">
        <f aca="false">IF(M81="","",IF(LEN(M81)&gt;160,"Too long",IF(LEN(M81)&lt;140,"Too short","OK")))</f>
        <v/>
      </c>
      <c r="P81" s="5" t="s">
        <v>56</v>
      </c>
    </row>
    <row r="82" customFormat="false" ht="39.55" hidden="false" customHeight="false" outlineLevel="0" collapsed="false">
      <c r="A82" s="5" t="s">
        <v>589</v>
      </c>
      <c r="B82" s="5" t="s">
        <v>590</v>
      </c>
      <c r="C82" s="5"/>
      <c r="D82" s="5" t="str">
        <f aca="false">IF(AND(I82=0,G82&lt;35),"Title and description",IF(I82=0,"Description",IF(G82&lt;35,"Title",IF(OR(G82&gt;60,I82&gt;160),"Too long: trim","Nothing — keep"))))</f>
        <v>Too long: trim</v>
      </c>
      <c r="E82" s="5" t="s">
        <v>51</v>
      </c>
      <c r="F82" s="5" t="s">
        <v>591</v>
      </c>
      <c r="G82" s="5" t="n">
        <f aca="false">LEN(F82)</f>
        <v>69</v>
      </c>
      <c r="H82" s="5" t="s">
        <v>592</v>
      </c>
      <c r="I82" s="5" t="n">
        <f aca="false">IF(H82="(none)",0,LEN(H82))</f>
        <v>171</v>
      </c>
      <c r="J82" s="6"/>
      <c r="K82" s="5" t="str">
        <f aca="false">IF(J82="","",LEN(J82))</f>
        <v/>
      </c>
      <c r="L82" s="5" t="str">
        <f aca="false">IF(J82="","",IF(LEN(J82)&gt;60,"Too long",IF(LEN(J82)&lt;50,"Too short","OK")))</f>
        <v/>
      </c>
      <c r="M82" s="6"/>
      <c r="N82" s="5" t="str">
        <f aca="false">IF(M82="","",LEN(M82))</f>
        <v/>
      </c>
      <c r="O82" s="5" t="str">
        <f aca="false">IF(M82="","",IF(LEN(M82)&gt;160,"Too long",IF(LEN(M82)&lt;140,"Too short","OK")))</f>
        <v/>
      </c>
      <c r="P82" s="5" t="s">
        <v>56</v>
      </c>
    </row>
    <row r="83" customFormat="false" ht="39.55" hidden="false" customHeight="false" outlineLevel="0" collapsed="false">
      <c r="A83" s="5" t="s">
        <v>593</v>
      </c>
      <c r="B83" s="5" t="s">
        <v>594</v>
      </c>
      <c r="C83" s="5"/>
      <c r="D83" s="5" t="str">
        <f aca="false">IF(AND(I83=0,G83&lt;35),"Title and description",IF(I83=0,"Description",IF(G83&lt;35,"Title",IF(OR(G83&gt;60,I83&gt;160),"Too long: trim","Nothing — keep"))))</f>
        <v>Too long: trim</v>
      </c>
      <c r="E83" s="5" t="s">
        <v>51</v>
      </c>
      <c r="F83" s="5" t="s">
        <v>595</v>
      </c>
      <c r="G83" s="5" t="n">
        <f aca="false">LEN(F83)</f>
        <v>71</v>
      </c>
      <c r="H83" s="5" t="s">
        <v>596</v>
      </c>
      <c r="I83" s="5" t="n">
        <f aca="false">IF(H83="(none)",0,LEN(H83))</f>
        <v>167</v>
      </c>
      <c r="J83" s="6"/>
      <c r="K83" s="5" t="str">
        <f aca="false">IF(J83="","",LEN(J83))</f>
        <v/>
      </c>
      <c r="L83" s="5" t="str">
        <f aca="false">IF(J83="","",IF(LEN(J83)&gt;60,"Too long",IF(LEN(J83)&lt;50,"Too short","OK")))</f>
        <v/>
      </c>
      <c r="M83" s="6"/>
      <c r="N83" s="5" t="str">
        <f aca="false">IF(M83="","",LEN(M83))</f>
        <v/>
      </c>
      <c r="O83" s="5" t="str">
        <f aca="false">IF(M83="","",IF(LEN(M83)&gt;160,"Too long",IF(LEN(M83)&lt;140,"Too short","OK")))</f>
        <v/>
      </c>
      <c r="P83" s="5" t="s">
        <v>56</v>
      </c>
    </row>
    <row r="84" customFormat="false" ht="39.55" hidden="false" customHeight="false" outlineLevel="0" collapsed="false">
      <c r="A84" s="5" t="s">
        <v>597</v>
      </c>
      <c r="B84" s="5" t="s">
        <v>598</v>
      </c>
      <c r="C84" s="5"/>
      <c r="D84" s="5" t="str">
        <f aca="false">IF(AND(I84=0,G84&lt;35),"Title and description",IF(I84=0,"Description",IF(G84&lt;35,"Title",IF(OR(G84&gt;60,I84&gt;160),"Too long: trim","Nothing — keep"))))</f>
        <v>Too long: trim</v>
      </c>
      <c r="E84" s="5" t="s">
        <v>51</v>
      </c>
      <c r="F84" s="5" t="s">
        <v>599</v>
      </c>
      <c r="G84" s="5" t="n">
        <f aca="false">LEN(F84)</f>
        <v>71</v>
      </c>
      <c r="H84" s="5" t="s">
        <v>600</v>
      </c>
      <c r="I84" s="5" t="n">
        <f aca="false">IF(H84="(none)",0,LEN(H84))</f>
        <v>153</v>
      </c>
      <c r="J84" s="6"/>
      <c r="K84" s="5" t="str">
        <f aca="false">IF(J84="","",LEN(J84))</f>
        <v/>
      </c>
      <c r="L84" s="5" t="str">
        <f aca="false">IF(J84="","",IF(LEN(J84)&gt;60,"Too long",IF(LEN(J84)&lt;50,"Too short","OK")))</f>
        <v/>
      </c>
      <c r="M84" s="6"/>
      <c r="N84" s="5" t="str">
        <f aca="false">IF(M84="","",LEN(M84))</f>
        <v/>
      </c>
      <c r="O84" s="5" t="str">
        <f aca="false">IF(M84="","",IF(LEN(M84)&gt;160,"Too long",IF(LEN(M84)&lt;140,"Too short","OK")))</f>
        <v/>
      </c>
      <c r="P84" s="5" t="s">
        <v>56</v>
      </c>
    </row>
    <row r="85" customFormat="false" ht="26.85" hidden="false" customHeight="false" outlineLevel="0" collapsed="false">
      <c r="A85" s="5" t="s">
        <v>601</v>
      </c>
      <c r="B85" s="5" t="s">
        <v>602</v>
      </c>
      <c r="C85" s="5"/>
      <c r="D85" s="5" t="str">
        <f aca="false">IF(AND(I85=0,G85&lt;35),"Title and description",IF(I85=0,"Description",IF(G85&lt;35,"Title",IF(OR(G85&gt;60,I85&gt;160),"Too long: trim","Nothing — keep"))))</f>
        <v>Title and description</v>
      </c>
      <c r="E85" s="5" t="s">
        <v>51</v>
      </c>
      <c r="F85" s="5" t="s">
        <v>603</v>
      </c>
      <c r="G85" s="5" t="n">
        <f aca="false">LEN(F85)</f>
        <v>32</v>
      </c>
      <c r="H85" s="5" t="s">
        <v>88</v>
      </c>
      <c r="I85" s="5" t="n">
        <f aca="false">IF(H85="(none)",0,LEN(H85))</f>
        <v>0</v>
      </c>
      <c r="J85" s="6"/>
      <c r="K85" s="5" t="str">
        <f aca="false">IF(J85="","",LEN(J85))</f>
        <v/>
      </c>
      <c r="L85" s="5" t="str">
        <f aca="false">IF(J85="","",IF(LEN(J85)&gt;60,"Too long",IF(LEN(J85)&lt;50,"Too short","OK")))</f>
        <v/>
      </c>
      <c r="M85" s="6"/>
      <c r="N85" s="5" t="str">
        <f aca="false">IF(M85="","",LEN(M85))</f>
        <v/>
      </c>
      <c r="O85" s="5" t="str">
        <f aca="false">IF(M85="","",IF(LEN(M85)&gt;160,"Too long",IF(LEN(M85)&lt;140,"Too short","OK")))</f>
        <v/>
      </c>
      <c r="P85" s="5" t="s">
        <v>56</v>
      </c>
    </row>
    <row r="86" customFormat="false" ht="39.55" hidden="false" customHeight="false" outlineLevel="0" collapsed="false">
      <c r="A86" s="5" t="s">
        <v>604</v>
      </c>
      <c r="B86" s="5" t="s">
        <v>605</v>
      </c>
      <c r="C86" s="5"/>
      <c r="D86" s="5" t="str">
        <f aca="false">IF(AND(I86=0,G86&lt;35),"Title and description",IF(I86=0,"Description",IF(G86&lt;35,"Title",IF(OR(G86&gt;60,I86&gt;160),"Too long: trim","Nothing — keep"))))</f>
        <v>Too long: trim</v>
      </c>
      <c r="E86" s="5" t="s">
        <v>333</v>
      </c>
      <c r="F86" s="5" t="s">
        <v>606</v>
      </c>
      <c r="G86" s="5" t="n">
        <f aca="false">LEN(F86)</f>
        <v>62</v>
      </c>
      <c r="H86" s="5" t="s">
        <v>607</v>
      </c>
      <c r="I86" s="5" t="n">
        <f aca="false">IF(H86="(none)",0,LEN(H86))</f>
        <v>167</v>
      </c>
      <c r="J86" s="6"/>
      <c r="K86" s="5" t="str">
        <f aca="false">IF(J86="","",LEN(J86))</f>
        <v/>
      </c>
      <c r="L86" s="5" t="str">
        <f aca="false">IF(J86="","",IF(LEN(J86)&gt;60,"Too long",IF(LEN(J86)&lt;50,"Too short","OK")))</f>
        <v/>
      </c>
      <c r="M86" s="6"/>
      <c r="N86" s="5" t="str">
        <f aca="false">IF(M86="","",LEN(M86))</f>
        <v/>
      </c>
      <c r="O86" s="5" t="str">
        <f aca="false">IF(M86="","",IF(LEN(M86)&gt;160,"Too long",IF(LEN(M86)&lt;140,"Too short","OK")))</f>
        <v/>
      </c>
      <c r="P86" s="5" t="s">
        <v>56</v>
      </c>
    </row>
    <row r="87" customFormat="false" ht="39.55" hidden="false" customHeight="false" outlineLevel="0" collapsed="false">
      <c r="A87" s="5" t="s">
        <v>608</v>
      </c>
      <c r="B87" s="5" t="s">
        <v>609</v>
      </c>
      <c r="C87" s="5"/>
      <c r="D87" s="5" t="str">
        <f aca="false">IF(AND(I87=0,G87&lt;35),"Title and description",IF(I87=0,"Description",IF(G87&lt;35,"Title",IF(OR(G87&gt;60,I87&gt;160),"Too long: trim","Nothing — keep"))))</f>
        <v>Too long: trim</v>
      </c>
      <c r="E87" s="5" t="s">
        <v>51</v>
      </c>
      <c r="F87" s="5" t="s">
        <v>610</v>
      </c>
      <c r="G87" s="5" t="n">
        <f aca="false">LEN(F87)</f>
        <v>56</v>
      </c>
      <c r="H87" s="5" t="s">
        <v>611</v>
      </c>
      <c r="I87" s="5" t="n">
        <f aca="false">IF(H87="(none)",0,LEN(H87))</f>
        <v>164</v>
      </c>
      <c r="J87" s="6"/>
      <c r="K87" s="5" t="str">
        <f aca="false">IF(J87="","",LEN(J87))</f>
        <v/>
      </c>
      <c r="L87" s="5" t="str">
        <f aca="false">IF(J87="","",IF(LEN(J87)&gt;60,"Too long",IF(LEN(J87)&lt;50,"Too short","OK")))</f>
        <v/>
      </c>
      <c r="M87" s="6"/>
      <c r="N87" s="5" t="str">
        <f aca="false">IF(M87="","",LEN(M87))</f>
        <v/>
      </c>
      <c r="O87" s="5" t="str">
        <f aca="false">IF(M87="","",IF(LEN(M87)&gt;160,"Too long",IF(LEN(M87)&lt;140,"Too short","OK")))</f>
        <v/>
      </c>
      <c r="P87" s="5" t="s">
        <v>56</v>
      </c>
    </row>
    <row r="88" customFormat="false" ht="39.55" hidden="false" customHeight="false" outlineLevel="0" collapsed="false">
      <c r="A88" s="5" t="s">
        <v>612</v>
      </c>
      <c r="B88" s="5" t="s">
        <v>613</v>
      </c>
      <c r="C88" s="5"/>
      <c r="D88" s="5" t="str">
        <f aca="false">IF(AND(I88=0,G88&lt;35),"Title and description",IF(I88=0,"Description",IF(G88&lt;35,"Title",IF(OR(G88&gt;60,I88&gt;160),"Too long: trim","Nothing — keep"))))</f>
        <v>Too long: trim</v>
      </c>
      <c r="E88" s="5" t="s">
        <v>51</v>
      </c>
      <c r="F88" s="5" t="s">
        <v>614</v>
      </c>
      <c r="G88" s="5" t="n">
        <f aca="false">LEN(F88)</f>
        <v>60</v>
      </c>
      <c r="H88" s="5" t="s">
        <v>615</v>
      </c>
      <c r="I88" s="5" t="n">
        <f aca="false">IF(H88="(none)",0,LEN(H88))</f>
        <v>161</v>
      </c>
      <c r="J88" s="6"/>
      <c r="K88" s="5" t="str">
        <f aca="false">IF(J88="","",LEN(J88))</f>
        <v/>
      </c>
      <c r="L88" s="5" t="str">
        <f aca="false">IF(J88="","",IF(LEN(J88)&gt;60,"Too long",IF(LEN(J88)&lt;50,"Too short","OK")))</f>
        <v/>
      </c>
      <c r="M88" s="6"/>
      <c r="N88" s="5" t="str">
        <f aca="false">IF(M88="","",LEN(M88))</f>
        <v/>
      </c>
      <c r="O88" s="5" t="str">
        <f aca="false">IF(M88="","",IF(LEN(M88)&gt;160,"Too long",IF(LEN(M88)&lt;140,"Too short","OK")))</f>
        <v/>
      </c>
      <c r="P88" s="5" t="s">
        <v>56</v>
      </c>
    </row>
    <row r="89" customFormat="false" ht="39.55" hidden="false" customHeight="false" outlineLevel="0" collapsed="false">
      <c r="A89" s="5" t="s">
        <v>616</v>
      </c>
      <c r="B89" s="5" t="s">
        <v>617</v>
      </c>
      <c r="C89" s="5"/>
      <c r="D89" s="5" t="str">
        <f aca="false">IF(AND(I89=0,G89&lt;35),"Title and description",IF(I89=0,"Description",IF(G89&lt;35,"Title",IF(OR(G89&gt;60,I89&gt;160),"Too long: trim","Nothing — keep"))))</f>
        <v>Too long: trim</v>
      </c>
      <c r="E89" s="5" t="s">
        <v>51</v>
      </c>
      <c r="F89" s="5" t="s">
        <v>618</v>
      </c>
      <c r="G89" s="5" t="n">
        <f aca="false">LEN(F89)</f>
        <v>58</v>
      </c>
      <c r="H89" s="5" t="s">
        <v>619</v>
      </c>
      <c r="I89" s="5" t="n">
        <f aca="false">IF(H89="(none)",0,LEN(H89))</f>
        <v>164</v>
      </c>
      <c r="J89" s="6"/>
      <c r="K89" s="5" t="str">
        <f aca="false">IF(J89="","",LEN(J89))</f>
        <v/>
      </c>
      <c r="L89" s="5" t="str">
        <f aca="false">IF(J89="","",IF(LEN(J89)&gt;60,"Too long",IF(LEN(J89)&lt;50,"Too short","OK")))</f>
        <v/>
      </c>
      <c r="M89" s="6"/>
      <c r="N89" s="5" t="str">
        <f aca="false">IF(M89="","",LEN(M89))</f>
        <v/>
      </c>
      <c r="O89" s="5" t="str">
        <f aca="false">IF(M89="","",IF(LEN(M89)&gt;160,"Too long",IF(LEN(M89)&lt;140,"Too short","OK")))</f>
        <v/>
      </c>
      <c r="P89" s="5" t="s">
        <v>56</v>
      </c>
    </row>
    <row r="90" customFormat="false" ht="39.55" hidden="false" customHeight="false" outlineLevel="0" collapsed="false">
      <c r="A90" s="5" t="s">
        <v>620</v>
      </c>
      <c r="B90" s="5" t="s">
        <v>621</v>
      </c>
      <c r="C90" s="5"/>
      <c r="D90" s="5" t="str">
        <f aca="false">IF(AND(I90=0,G90&lt;35),"Title and description",IF(I90=0,"Description",IF(G90&lt;35,"Title",IF(OR(G90&gt;60,I90&gt;160),"Too long: trim","Nothing — keep"))))</f>
        <v>Too long: trim</v>
      </c>
      <c r="E90" s="5" t="s">
        <v>51</v>
      </c>
      <c r="F90" s="5" t="s">
        <v>622</v>
      </c>
      <c r="G90" s="5" t="n">
        <f aca="false">LEN(F90)</f>
        <v>74</v>
      </c>
      <c r="H90" s="5" t="s">
        <v>623</v>
      </c>
      <c r="I90" s="5" t="n">
        <f aca="false">IF(H90="(none)",0,LEN(H90))</f>
        <v>168</v>
      </c>
      <c r="J90" s="6"/>
      <c r="K90" s="5" t="str">
        <f aca="false">IF(J90="","",LEN(J90))</f>
        <v/>
      </c>
      <c r="L90" s="5" t="str">
        <f aca="false">IF(J90="","",IF(LEN(J90)&gt;60,"Too long",IF(LEN(J90)&lt;50,"Too short","OK")))</f>
        <v/>
      </c>
      <c r="M90" s="6"/>
      <c r="N90" s="5" t="str">
        <f aca="false">IF(M90="","",LEN(M90))</f>
        <v/>
      </c>
      <c r="O90" s="5" t="str">
        <f aca="false">IF(M90="","",IF(LEN(M90)&gt;160,"Too long",IF(LEN(M90)&lt;140,"Too short","OK")))</f>
        <v/>
      </c>
      <c r="P90" s="5" t="s">
        <v>56</v>
      </c>
    </row>
    <row r="91" customFormat="false" ht="26.85" hidden="false" customHeight="false" outlineLevel="0" collapsed="false">
      <c r="A91" s="5" t="s">
        <v>624</v>
      </c>
      <c r="B91" s="5" t="s">
        <v>625</v>
      </c>
      <c r="C91" s="5"/>
      <c r="D91" s="5" t="str">
        <f aca="false">IF(AND(I91=0,G91&lt;35),"Title and description",IF(I91=0,"Description",IF(G91&lt;35,"Title",IF(OR(G91&gt;60,I91&gt;160),"Too long: trim","Nothing — keep"))))</f>
        <v>Title and description</v>
      </c>
      <c r="E91" s="5" t="s">
        <v>51</v>
      </c>
      <c r="F91" s="5" t="s">
        <v>626</v>
      </c>
      <c r="G91" s="5" t="n">
        <f aca="false">LEN(F91)</f>
        <v>34</v>
      </c>
      <c r="H91" s="5" t="s">
        <v>88</v>
      </c>
      <c r="I91" s="5" t="n">
        <f aca="false">IF(H91="(none)",0,LEN(H91))</f>
        <v>0</v>
      </c>
      <c r="J91" s="6"/>
      <c r="K91" s="5" t="str">
        <f aca="false">IF(J91="","",LEN(J91))</f>
        <v/>
      </c>
      <c r="L91" s="5" t="str">
        <f aca="false">IF(J91="","",IF(LEN(J91)&gt;60,"Too long",IF(LEN(J91)&lt;50,"Too short","OK")))</f>
        <v/>
      </c>
      <c r="M91" s="6"/>
      <c r="N91" s="5" t="str">
        <f aca="false">IF(M91="","",LEN(M91))</f>
        <v/>
      </c>
      <c r="O91" s="5" t="str">
        <f aca="false">IF(M91="","",IF(LEN(M91)&gt;160,"Too long",IF(LEN(M91)&lt;140,"Too short","OK")))</f>
        <v/>
      </c>
      <c r="P91" s="5" t="s">
        <v>56</v>
      </c>
    </row>
    <row r="92" customFormat="false" ht="26.85" hidden="false" customHeight="false" outlineLevel="0" collapsed="false">
      <c r="A92" s="5" t="s">
        <v>627</v>
      </c>
      <c r="B92" s="5" t="s">
        <v>628</v>
      </c>
      <c r="C92" s="5"/>
      <c r="D92" s="5" t="str">
        <f aca="false">IF(AND(I92=0,G92&lt;35),"Title and description",IF(I92=0,"Description",IF(G92&lt;35,"Title",IF(OR(G92&gt;60,I92&gt;160),"Too long: trim","Nothing — keep"))))</f>
        <v>Title and description</v>
      </c>
      <c r="E92" s="5" t="s">
        <v>51</v>
      </c>
      <c r="F92" s="5" t="s">
        <v>629</v>
      </c>
      <c r="G92" s="5" t="n">
        <f aca="false">LEN(F92)</f>
        <v>27</v>
      </c>
      <c r="H92" s="5" t="s">
        <v>88</v>
      </c>
      <c r="I92" s="5" t="n">
        <f aca="false">IF(H92="(none)",0,LEN(H92))</f>
        <v>0</v>
      </c>
      <c r="J92" s="6"/>
      <c r="K92" s="5" t="str">
        <f aca="false">IF(J92="","",LEN(J92))</f>
        <v/>
      </c>
      <c r="L92" s="5" t="str">
        <f aca="false">IF(J92="","",IF(LEN(J92)&gt;60,"Too long",IF(LEN(J92)&lt;50,"Too short","OK")))</f>
        <v/>
      </c>
      <c r="M92" s="6"/>
      <c r="N92" s="5" t="str">
        <f aca="false">IF(M92="","",LEN(M92))</f>
        <v/>
      </c>
      <c r="O92" s="5" t="str">
        <f aca="false">IF(M92="","",IF(LEN(M92)&gt;160,"Too long",IF(LEN(M92)&lt;140,"Too short","OK")))</f>
        <v/>
      </c>
      <c r="P92" s="5" t="s">
        <v>56</v>
      </c>
    </row>
    <row r="93" customFormat="false" ht="15" hidden="false" customHeight="false" outlineLevel="0" collapsed="false">
      <c r="A93" s="5" t="s">
        <v>630</v>
      </c>
      <c r="B93" s="5" t="s">
        <v>631</v>
      </c>
      <c r="C93" s="5"/>
      <c r="D93" s="5" t="str">
        <f aca="false">IF(AND(I93=0,G93&lt;35),"Title and description",IF(I93=0,"Description",IF(G93&lt;35,"Title",IF(OR(G93&gt;60,I93&gt;160),"Too long: trim","Nothing — keep"))))</f>
        <v>Title and description</v>
      </c>
      <c r="E93" s="5" t="s">
        <v>51</v>
      </c>
      <c r="F93" s="5" t="s">
        <v>632</v>
      </c>
      <c r="G93" s="5" t="n">
        <f aca="false">LEN(F93)</f>
        <v>24</v>
      </c>
      <c r="H93" s="5" t="s">
        <v>88</v>
      </c>
      <c r="I93" s="5" t="n">
        <f aca="false">IF(H93="(none)",0,LEN(H93))</f>
        <v>0</v>
      </c>
      <c r="J93" s="6"/>
      <c r="K93" s="5" t="str">
        <f aca="false">IF(J93="","",LEN(J93))</f>
        <v/>
      </c>
      <c r="L93" s="5" t="str">
        <f aca="false">IF(J93="","",IF(LEN(J93)&gt;60,"Too long",IF(LEN(J93)&lt;50,"Too short","OK")))</f>
        <v/>
      </c>
      <c r="M93" s="6"/>
      <c r="N93" s="5" t="str">
        <f aca="false">IF(M93="","",LEN(M93))</f>
        <v/>
      </c>
      <c r="O93" s="5" t="str">
        <f aca="false">IF(M93="","",IF(LEN(M93)&gt;160,"Too long",IF(LEN(M93)&lt;140,"Too short","OK")))</f>
        <v/>
      </c>
      <c r="P93" s="5" t="s">
        <v>56</v>
      </c>
    </row>
    <row r="94" customFormat="false" ht="15" hidden="false" customHeight="false" outlineLevel="0" collapsed="false">
      <c r="A94" s="5" t="s">
        <v>633</v>
      </c>
      <c r="B94" s="5" t="s">
        <v>634</v>
      </c>
      <c r="C94" s="5"/>
      <c r="D94" s="5" t="str">
        <f aca="false">IF(AND(I94=0,G94&lt;35),"Title and description",IF(I94=0,"Description",IF(G94&lt;35,"Title",IF(OR(G94&gt;60,I94&gt;160),"Too long: trim","Nothing — keep"))))</f>
        <v>Title and description</v>
      </c>
      <c r="E94" s="5" t="s">
        <v>51</v>
      </c>
      <c r="F94" s="5" t="s">
        <v>635</v>
      </c>
      <c r="G94" s="5" t="n">
        <f aca="false">LEN(F94)</f>
        <v>26</v>
      </c>
      <c r="H94" s="5" t="s">
        <v>88</v>
      </c>
      <c r="I94" s="5" t="n">
        <f aca="false">IF(H94="(none)",0,LEN(H94))</f>
        <v>0</v>
      </c>
      <c r="J94" s="6"/>
      <c r="K94" s="5" t="str">
        <f aca="false">IF(J94="","",LEN(J94))</f>
        <v/>
      </c>
      <c r="L94" s="5" t="str">
        <f aca="false">IF(J94="","",IF(LEN(J94)&gt;60,"Too long",IF(LEN(J94)&lt;50,"Too short","OK")))</f>
        <v/>
      </c>
      <c r="M94" s="6"/>
      <c r="N94" s="5" t="str">
        <f aca="false">IF(M94="","",LEN(M94))</f>
        <v/>
      </c>
      <c r="O94" s="5" t="str">
        <f aca="false">IF(M94="","",IF(LEN(M94)&gt;160,"Too long",IF(LEN(M94)&lt;140,"Too short","OK")))</f>
        <v/>
      </c>
      <c r="P94" s="5" t="s">
        <v>56</v>
      </c>
    </row>
    <row r="95" customFormat="false" ht="39.55" hidden="false" customHeight="false" outlineLevel="0" collapsed="false">
      <c r="A95" s="5" t="s">
        <v>636</v>
      </c>
      <c r="B95" s="5" t="s">
        <v>637</v>
      </c>
      <c r="C95" s="5"/>
      <c r="D95" s="5" t="str">
        <f aca="false">IF(AND(I95=0,G95&lt;35),"Title and description",IF(I95=0,"Description",IF(G95&lt;35,"Title",IF(OR(G95&gt;60,I95&gt;160),"Too long: trim","Nothing — keep"))))</f>
        <v>Too long: trim</v>
      </c>
      <c r="E95" s="5" t="s">
        <v>51</v>
      </c>
      <c r="F95" s="5" t="s">
        <v>638</v>
      </c>
      <c r="G95" s="5" t="n">
        <f aca="false">LEN(F95)</f>
        <v>61</v>
      </c>
      <c r="H95" s="5" t="s">
        <v>639</v>
      </c>
      <c r="I95" s="5" t="n">
        <f aca="false">IF(H95="(none)",0,LEN(H95))</f>
        <v>150</v>
      </c>
      <c r="J95" s="6"/>
      <c r="K95" s="5" t="str">
        <f aca="false">IF(J95="","",LEN(J95))</f>
        <v/>
      </c>
      <c r="L95" s="5" t="str">
        <f aca="false">IF(J95="","",IF(LEN(J95)&gt;60,"Too long",IF(LEN(J95)&lt;50,"Too short","OK")))</f>
        <v/>
      </c>
      <c r="M95" s="6"/>
      <c r="N95" s="5" t="str">
        <f aca="false">IF(M95="","",LEN(M95))</f>
        <v/>
      </c>
      <c r="O95" s="5" t="str">
        <f aca="false">IF(M95="","",IF(LEN(M95)&gt;160,"Too long",IF(LEN(M95)&lt;140,"Too short","OK")))</f>
        <v/>
      </c>
      <c r="P95" s="5" t="s">
        <v>56</v>
      </c>
    </row>
    <row r="96" customFormat="false" ht="39.55" hidden="false" customHeight="false" outlineLevel="0" collapsed="false">
      <c r="A96" s="5" t="s">
        <v>640</v>
      </c>
      <c r="B96" s="5" t="s">
        <v>641</v>
      </c>
      <c r="C96" s="5"/>
      <c r="D96" s="5" t="str">
        <f aca="false">IF(AND(I96=0,G96&lt;35),"Title and description",IF(I96=0,"Description",IF(G96&lt;35,"Title",IF(OR(G96&gt;60,I96&gt;160),"Too long: trim","Nothing — keep"))))</f>
        <v>Too long: trim</v>
      </c>
      <c r="E96" s="5" t="s">
        <v>51</v>
      </c>
      <c r="F96" s="5" t="s">
        <v>642</v>
      </c>
      <c r="G96" s="5" t="n">
        <f aca="false">LEN(F96)</f>
        <v>71</v>
      </c>
      <c r="H96" s="5" t="s">
        <v>643</v>
      </c>
      <c r="I96" s="5" t="n">
        <f aca="false">IF(H96="(none)",0,LEN(H96))</f>
        <v>156</v>
      </c>
      <c r="J96" s="6"/>
      <c r="K96" s="5" t="str">
        <f aca="false">IF(J96="","",LEN(J96))</f>
        <v/>
      </c>
      <c r="L96" s="5" t="str">
        <f aca="false">IF(J96="","",IF(LEN(J96)&gt;60,"Too long",IF(LEN(J96)&lt;50,"Too short","OK")))</f>
        <v/>
      </c>
      <c r="M96" s="6"/>
      <c r="N96" s="5" t="str">
        <f aca="false">IF(M96="","",LEN(M96))</f>
        <v/>
      </c>
      <c r="O96" s="5" t="str">
        <f aca="false">IF(M96="","",IF(LEN(M96)&gt;160,"Too long",IF(LEN(M96)&lt;140,"Too short","OK")))</f>
        <v/>
      </c>
      <c r="P96" s="5" t="s">
        <v>56</v>
      </c>
    </row>
    <row r="97" customFormat="false" ht="26.85" hidden="false" customHeight="false" outlineLevel="0" collapsed="false">
      <c r="A97" s="5" t="s">
        <v>644</v>
      </c>
      <c r="B97" s="5" t="s">
        <v>645</v>
      </c>
      <c r="C97" s="5"/>
      <c r="D97" s="5" t="str">
        <f aca="false">IF(AND(I97=0,G97&lt;35),"Title and description",IF(I97=0,"Description",IF(G97&lt;35,"Title",IF(OR(G97&gt;60,I97&gt;160),"Too long: trim","Nothing — keep"))))</f>
        <v>Description</v>
      </c>
      <c r="E97" s="5" t="s">
        <v>51</v>
      </c>
      <c r="F97" s="5" t="s">
        <v>646</v>
      </c>
      <c r="G97" s="5" t="n">
        <f aca="false">LEN(F97)</f>
        <v>41</v>
      </c>
      <c r="H97" s="5" t="s">
        <v>88</v>
      </c>
      <c r="I97" s="5" t="n">
        <f aca="false">IF(H97="(none)",0,LEN(H97))</f>
        <v>0</v>
      </c>
      <c r="J97" s="6"/>
      <c r="K97" s="5" t="str">
        <f aca="false">IF(J97="","",LEN(J97))</f>
        <v/>
      </c>
      <c r="L97" s="5" t="str">
        <f aca="false">IF(J97="","",IF(LEN(J97)&gt;60,"Too long",IF(LEN(J97)&lt;50,"Too short","OK")))</f>
        <v/>
      </c>
      <c r="M97" s="6"/>
      <c r="N97" s="5" t="str">
        <f aca="false">IF(M97="","",LEN(M97))</f>
        <v/>
      </c>
      <c r="O97" s="5" t="str">
        <f aca="false">IF(M97="","",IF(LEN(M97)&gt;160,"Too long",IF(LEN(M97)&lt;140,"Too short","OK")))</f>
        <v/>
      </c>
      <c r="P97" s="5" t="s">
        <v>56</v>
      </c>
    </row>
    <row r="98" customFormat="false" ht="39.55" hidden="false" customHeight="false" outlineLevel="0" collapsed="false">
      <c r="A98" s="5" t="s">
        <v>647</v>
      </c>
      <c r="B98" s="5" t="s">
        <v>648</v>
      </c>
      <c r="C98" s="5"/>
      <c r="D98" s="5" t="str">
        <f aca="false">IF(AND(I98=0,G98&lt;35),"Title and description",IF(I98=0,"Description",IF(G98&lt;35,"Title",IF(OR(G98&gt;60,I98&gt;160),"Too long: trim","Nothing — keep"))))</f>
        <v>Too long: trim</v>
      </c>
      <c r="E98" s="5" t="s">
        <v>51</v>
      </c>
      <c r="F98" s="5" t="s">
        <v>649</v>
      </c>
      <c r="G98" s="5" t="n">
        <f aca="false">LEN(F98)</f>
        <v>61</v>
      </c>
      <c r="H98" s="5" t="s">
        <v>650</v>
      </c>
      <c r="I98" s="5" t="n">
        <f aca="false">IF(H98="(none)",0,LEN(H98))</f>
        <v>151</v>
      </c>
      <c r="J98" s="6"/>
      <c r="K98" s="5" t="str">
        <f aca="false">IF(J98="","",LEN(J98))</f>
        <v/>
      </c>
      <c r="L98" s="5" t="str">
        <f aca="false">IF(J98="","",IF(LEN(J98)&gt;60,"Too long",IF(LEN(J98)&lt;50,"Too short","OK")))</f>
        <v/>
      </c>
      <c r="M98" s="6"/>
      <c r="N98" s="5" t="str">
        <f aca="false">IF(M98="","",LEN(M98))</f>
        <v/>
      </c>
      <c r="O98" s="5" t="str">
        <f aca="false">IF(M98="","",IF(LEN(M98)&gt;160,"Too long",IF(LEN(M98)&lt;140,"Too short","OK")))</f>
        <v/>
      </c>
      <c r="P98" s="5" t="s">
        <v>56</v>
      </c>
    </row>
    <row r="99" customFormat="false" ht="26.85" hidden="false" customHeight="false" outlineLevel="0" collapsed="false">
      <c r="A99" s="5" t="s">
        <v>651</v>
      </c>
      <c r="B99" s="5" t="s">
        <v>652</v>
      </c>
      <c r="C99" s="5"/>
      <c r="D99" s="5" t="str">
        <f aca="false">IF(AND(I99=0,G99&lt;35),"Title and description",IF(I99=0,"Description",IF(G99&lt;35,"Title",IF(OR(G99&gt;60,I99&gt;160),"Too long: trim","Nothing — keep"))))</f>
        <v>Title and description</v>
      </c>
      <c r="E99" s="5" t="s">
        <v>51</v>
      </c>
      <c r="F99" s="5" t="s">
        <v>653</v>
      </c>
      <c r="G99" s="5" t="n">
        <f aca="false">LEN(F99)</f>
        <v>34</v>
      </c>
      <c r="H99" s="5" t="s">
        <v>88</v>
      </c>
      <c r="I99" s="5" t="n">
        <f aca="false">IF(H99="(none)",0,LEN(H99))</f>
        <v>0</v>
      </c>
      <c r="J99" s="6"/>
      <c r="K99" s="5" t="str">
        <f aca="false">IF(J99="","",LEN(J99))</f>
        <v/>
      </c>
      <c r="L99" s="5" t="str">
        <f aca="false">IF(J99="","",IF(LEN(J99)&gt;60,"Too long",IF(LEN(J99)&lt;50,"Too short","OK")))</f>
        <v/>
      </c>
      <c r="M99" s="6"/>
      <c r="N99" s="5" t="str">
        <f aca="false">IF(M99="","",LEN(M99))</f>
        <v/>
      </c>
      <c r="O99" s="5" t="str">
        <f aca="false">IF(M99="","",IF(LEN(M99)&gt;160,"Too long",IF(LEN(M99)&lt;140,"Too short","OK")))</f>
        <v/>
      </c>
      <c r="P99" s="5" t="s">
        <v>56</v>
      </c>
    </row>
    <row r="100" customFormat="false" ht="39.55" hidden="false" customHeight="false" outlineLevel="0" collapsed="false">
      <c r="A100" s="5" t="s">
        <v>654</v>
      </c>
      <c r="B100" s="5" t="s">
        <v>655</v>
      </c>
      <c r="C100" s="5"/>
      <c r="D100" s="5" t="str">
        <f aca="false">IF(AND(I100=0,G100&lt;35),"Title and description",IF(I100=0,"Description",IF(G100&lt;35,"Title",IF(OR(G100&gt;60,I100&gt;160),"Too long: trim","Nothing — keep"))))</f>
        <v>Too long: trim</v>
      </c>
      <c r="E100" s="5" t="s">
        <v>51</v>
      </c>
      <c r="F100" s="5" t="s">
        <v>656</v>
      </c>
      <c r="G100" s="5" t="n">
        <f aca="false">LEN(F100)</f>
        <v>75</v>
      </c>
      <c r="H100" s="5" t="s">
        <v>657</v>
      </c>
      <c r="I100" s="5" t="n">
        <f aca="false">IF(H100="(none)",0,LEN(H100))</f>
        <v>160</v>
      </c>
      <c r="J100" s="6"/>
      <c r="K100" s="5" t="str">
        <f aca="false">IF(J100="","",LEN(J100))</f>
        <v/>
      </c>
      <c r="L100" s="5" t="str">
        <f aca="false">IF(J100="","",IF(LEN(J100)&gt;60,"Too long",IF(LEN(J100)&lt;50,"Too short","OK")))</f>
        <v/>
      </c>
      <c r="M100" s="6"/>
      <c r="N100" s="5" t="str">
        <f aca="false">IF(M100="","",LEN(M100))</f>
        <v/>
      </c>
      <c r="O100" s="5" t="str">
        <f aca="false">IF(M100="","",IF(LEN(M100)&gt;160,"Too long",IF(LEN(M100)&lt;140,"Too short","OK")))</f>
        <v/>
      </c>
      <c r="P100" s="5" t="s">
        <v>56</v>
      </c>
    </row>
    <row r="101" customFormat="false" ht="15" hidden="false" customHeight="false" outlineLevel="0" collapsed="false">
      <c r="A101" s="5" t="s">
        <v>658</v>
      </c>
      <c r="B101" s="5" t="s">
        <v>659</v>
      </c>
      <c r="C101" s="5"/>
      <c r="D101" s="5" t="str">
        <f aca="false">IF(AND(I101=0,G101&lt;35),"Title and description",IF(I101=0,"Description",IF(G101&lt;35,"Title",IF(OR(G101&gt;60,I101&gt;160),"Too long: trim","Nothing — keep"))))</f>
        <v>Title and description</v>
      </c>
      <c r="E101" s="5" t="s">
        <v>333</v>
      </c>
      <c r="F101" s="5" t="s">
        <v>660</v>
      </c>
      <c r="G101" s="5" t="n">
        <f aca="false">LEN(F101)</f>
        <v>21</v>
      </c>
      <c r="H101" s="5" t="s">
        <v>88</v>
      </c>
      <c r="I101" s="5" t="n">
        <f aca="false">IF(H101="(none)",0,LEN(H101))</f>
        <v>0</v>
      </c>
      <c r="J101" s="6"/>
      <c r="K101" s="5" t="str">
        <f aca="false">IF(J101="","",LEN(J101))</f>
        <v/>
      </c>
      <c r="L101" s="5" t="str">
        <f aca="false">IF(J101="","",IF(LEN(J101)&gt;60,"Too long",IF(LEN(J101)&lt;50,"Too short","OK")))</f>
        <v/>
      </c>
      <c r="M101" s="6"/>
      <c r="N101" s="5" t="str">
        <f aca="false">IF(M101="","",LEN(M101))</f>
        <v/>
      </c>
      <c r="O101" s="5" t="str">
        <f aca="false">IF(M101="","",IF(LEN(M101)&gt;160,"Too long",IF(LEN(M101)&lt;140,"Too short","OK")))</f>
        <v/>
      </c>
      <c r="P101" s="5" t="s">
        <v>56</v>
      </c>
    </row>
    <row r="102" customFormat="false" ht="15" hidden="false" customHeight="false" outlineLevel="0" collapsed="false">
      <c r="A102" s="5" t="s">
        <v>661</v>
      </c>
      <c r="B102" s="5" t="s">
        <v>662</v>
      </c>
      <c r="C102" s="5"/>
      <c r="D102" s="5" t="str">
        <f aca="false">IF(AND(I102=0,G102&lt;35),"Title and description",IF(I102=0,"Description",IF(G102&lt;35,"Title",IF(OR(G102&gt;60,I102&gt;160),"Too long: trim","Nothing — keep"))))</f>
        <v>Title and description</v>
      </c>
      <c r="E102" s="5" t="s">
        <v>51</v>
      </c>
      <c r="F102" s="5" t="s">
        <v>663</v>
      </c>
      <c r="G102" s="5" t="n">
        <f aca="false">LEN(F102)</f>
        <v>33</v>
      </c>
      <c r="H102" s="5" t="s">
        <v>88</v>
      </c>
      <c r="I102" s="5" t="n">
        <f aca="false">IF(H102="(none)",0,LEN(H102))</f>
        <v>0</v>
      </c>
      <c r="J102" s="6"/>
      <c r="K102" s="5" t="str">
        <f aca="false">IF(J102="","",LEN(J102))</f>
        <v/>
      </c>
      <c r="L102" s="5" t="str">
        <f aca="false">IF(J102="","",IF(LEN(J102)&gt;60,"Too long",IF(LEN(J102)&lt;50,"Too short","OK")))</f>
        <v/>
      </c>
      <c r="M102" s="6"/>
      <c r="N102" s="5" t="str">
        <f aca="false">IF(M102="","",LEN(M102))</f>
        <v/>
      </c>
      <c r="O102" s="5" t="str">
        <f aca="false">IF(M102="","",IF(LEN(M102)&gt;160,"Too long",IF(LEN(M102)&lt;140,"Too short","OK")))</f>
        <v/>
      </c>
      <c r="P102" s="5" t="s">
        <v>56</v>
      </c>
    </row>
    <row r="103" customFormat="false" ht="26.85" hidden="false" customHeight="false" outlineLevel="0" collapsed="false">
      <c r="A103" s="5" t="s">
        <v>664</v>
      </c>
      <c r="B103" s="5" t="s">
        <v>665</v>
      </c>
      <c r="C103" s="5"/>
      <c r="D103" s="5" t="str">
        <f aca="false">IF(AND(I103=0,G103&lt;35),"Title and description",IF(I103=0,"Description",IF(G103&lt;35,"Title",IF(OR(G103&gt;60,I103&gt;160),"Too long: trim","Nothing — keep"))))</f>
        <v>Title and description</v>
      </c>
      <c r="E103" s="5" t="s">
        <v>51</v>
      </c>
      <c r="F103" s="5" t="s">
        <v>666</v>
      </c>
      <c r="G103" s="5" t="n">
        <f aca="false">LEN(F103)</f>
        <v>26</v>
      </c>
      <c r="H103" s="5" t="s">
        <v>88</v>
      </c>
      <c r="I103" s="5" t="n">
        <f aca="false">IF(H103="(none)",0,LEN(H103))</f>
        <v>0</v>
      </c>
      <c r="J103" s="6"/>
      <c r="K103" s="5" t="str">
        <f aca="false">IF(J103="","",LEN(J103))</f>
        <v/>
      </c>
      <c r="L103" s="5" t="str">
        <f aca="false">IF(J103="","",IF(LEN(J103)&gt;60,"Too long",IF(LEN(J103)&lt;50,"Too short","OK")))</f>
        <v/>
      </c>
      <c r="M103" s="6"/>
      <c r="N103" s="5" t="str">
        <f aca="false">IF(M103="","",LEN(M103))</f>
        <v/>
      </c>
      <c r="O103" s="5" t="str">
        <f aca="false">IF(M103="","",IF(LEN(M103)&gt;160,"Too long",IF(LEN(M103)&lt;140,"Too short","OK")))</f>
        <v/>
      </c>
      <c r="P103" s="5" t="s">
        <v>56</v>
      </c>
    </row>
    <row r="104" customFormat="false" ht="26.85" hidden="false" customHeight="false" outlineLevel="0" collapsed="false">
      <c r="A104" s="5" t="s">
        <v>667</v>
      </c>
      <c r="B104" s="5" t="s">
        <v>668</v>
      </c>
      <c r="C104" s="5"/>
      <c r="D104" s="5" t="str">
        <f aca="false">IF(AND(I104=0,G104&lt;35),"Title and description",IF(I104=0,"Description",IF(G104&lt;35,"Title",IF(OR(G104&gt;60,I104&gt;160),"Too long: trim","Nothing — keep"))))</f>
        <v>Title and description</v>
      </c>
      <c r="E104" s="5" t="s">
        <v>51</v>
      </c>
      <c r="F104" s="5" t="s">
        <v>669</v>
      </c>
      <c r="G104" s="5" t="n">
        <f aca="false">LEN(F104)</f>
        <v>27</v>
      </c>
      <c r="H104" s="5" t="s">
        <v>88</v>
      </c>
      <c r="I104" s="5" t="n">
        <f aca="false">IF(H104="(none)",0,LEN(H104))</f>
        <v>0</v>
      </c>
      <c r="J104" s="6"/>
      <c r="K104" s="5" t="str">
        <f aca="false">IF(J104="","",LEN(J104))</f>
        <v/>
      </c>
      <c r="L104" s="5" t="str">
        <f aca="false">IF(J104="","",IF(LEN(J104)&gt;60,"Too long",IF(LEN(J104)&lt;50,"Too short","OK")))</f>
        <v/>
      </c>
      <c r="M104" s="6"/>
      <c r="N104" s="5" t="str">
        <f aca="false">IF(M104="","",LEN(M104))</f>
        <v/>
      </c>
      <c r="O104" s="5" t="str">
        <f aca="false">IF(M104="","",IF(LEN(M104)&gt;160,"Too long",IF(LEN(M104)&lt;140,"Too short","OK")))</f>
        <v/>
      </c>
      <c r="P104" s="5" t="s">
        <v>56</v>
      </c>
    </row>
    <row r="105" customFormat="false" ht="39.55" hidden="false" customHeight="false" outlineLevel="0" collapsed="false">
      <c r="A105" s="5" t="s">
        <v>670</v>
      </c>
      <c r="B105" s="5" t="s">
        <v>671</v>
      </c>
      <c r="C105" s="5"/>
      <c r="D105" s="5" t="str">
        <f aca="false">IF(AND(I105=0,G105&lt;35),"Title and description",IF(I105=0,"Description",IF(G105&lt;35,"Title",IF(OR(G105&gt;60,I105&gt;160),"Too long: trim","Nothing — keep"))))</f>
        <v>Description</v>
      </c>
      <c r="E105" s="5" t="s">
        <v>51</v>
      </c>
      <c r="F105" s="5" t="s">
        <v>672</v>
      </c>
      <c r="G105" s="5" t="n">
        <f aca="false">LEN(F105)</f>
        <v>79</v>
      </c>
      <c r="H105" s="5" t="s">
        <v>88</v>
      </c>
      <c r="I105" s="5" t="n">
        <f aca="false">IF(H105="(none)",0,LEN(H105))</f>
        <v>0</v>
      </c>
      <c r="J105" s="6"/>
      <c r="K105" s="5" t="str">
        <f aca="false">IF(J105="","",LEN(J105))</f>
        <v/>
      </c>
      <c r="L105" s="5" t="str">
        <f aca="false">IF(J105="","",IF(LEN(J105)&gt;60,"Too long",IF(LEN(J105)&lt;50,"Too short","OK")))</f>
        <v/>
      </c>
      <c r="M105" s="6"/>
      <c r="N105" s="5" t="str">
        <f aca="false">IF(M105="","",LEN(M105))</f>
        <v/>
      </c>
      <c r="O105" s="5" t="str">
        <f aca="false">IF(M105="","",IF(LEN(M105)&gt;160,"Too long",IF(LEN(M105)&lt;140,"Too short","OK")))</f>
        <v/>
      </c>
      <c r="P105" s="5" t="s">
        <v>56</v>
      </c>
    </row>
    <row r="106" customFormat="false" ht="26.85" hidden="false" customHeight="false" outlineLevel="0" collapsed="false">
      <c r="A106" s="5" t="s">
        <v>673</v>
      </c>
      <c r="B106" s="5" t="s">
        <v>674</v>
      </c>
      <c r="C106" s="5"/>
      <c r="D106" s="5" t="str">
        <f aca="false">IF(AND(I106=0,G106&lt;35),"Title and description",IF(I106=0,"Description",IF(G106&lt;35,"Title",IF(OR(G106&gt;60,I106&gt;160),"Too long: trim","Nothing — keep"))))</f>
        <v>Description</v>
      </c>
      <c r="E106" s="5" t="s">
        <v>51</v>
      </c>
      <c r="F106" s="5" t="s">
        <v>675</v>
      </c>
      <c r="G106" s="5" t="n">
        <f aca="false">LEN(F106)</f>
        <v>37</v>
      </c>
      <c r="H106" s="5" t="s">
        <v>88</v>
      </c>
      <c r="I106" s="5" t="n">
        <f aca="false">IF(H106="(none)",0,LEN(H106))</f>
        <v>0</v>
      </c>
      <c r="J106" s="6"/>
      <c r="K106" s="5" t="str">
        <f aca="false">IF(J106="","",LEN(J106))</f>
        <v/>
      </c>
      <c r="L106" s="5" t="str">
        <f aca="false">IF(J106="","",IF(LEN(J106)&gt;60,"Too long",IF(LEN(J106)&lt;50,"Too short","OK")))</f>
        <v/>
      </c>
      <c r="M106" s="6"/>
      <c r="N106" s="5" t="str">
        <f aca="false">IF(M106="","",LEN(M106))</f>
        <v/>
      </c>
      <c r="O106" s="5" t="str">
        <f aca="false">IF(M106="","",IF(LEN(M106)&gt;160,"Too long",IF(LEN(M106)&lt;140,"Too short","OK")))</f>
        <v/>
      </c>
      <c r="P106" s="5" t="s">
        <v>56</v>
      </c>
    </row>
    <row r="107" customFormat="false" ht="26.85" hidden="false" customHeight="false" outlineLevel="0" collapsed="false">
      <c r="A107" s="5" t="s">
        <v>676</v>
      </c>
      <c r="B107" s="5" t="s">
        <v>677</v>
      </c>
      <c r="C107" s="5"/>
      <c r="D107" s="5" t="str">
        <f aca="false">IF(AND(I107=0,G107&lt;35),"Title and description",IF(I107=0,"Description",IF(G107&lt;35,"Title",IF(OR(G107&gt;60,I107&gt;160),"Too long: trim","Nothing — keep"))))</f>
        <v>Description</v>
      </c>
      <c r="E107" s="5" t="s">
        <v>333</v>
      </c>
      <c r="F107" s="5" t="s">
        <v>678</v>
      </c>
      <c r="G107" s="5" t="n">
        <f aca="false">LEN(F107)</f>
        <v>37</v>
      </c>
      <c r="H107" s="5" t="s">
        <v>88</v>
      </c>
      <c r="I107" s="5" t="n">
        <f aca="false">IF(H107="(none)",0,LEN(H107))</f>
        <v>0</v>
      </c>
      <c r="J107" s="6"/>
      <c r="K107" s="5" t="str">
        <f aca="false">IF(J107="","",LEN(J107))</f>
        <v/>
      </c>
      <c r="L107" s="5" t="str">
        <f aca="false">IF(J107="","",IF(LEN(J107)&gt;60,"Too long",IF(LEN(J107)&lt;50,"Too short","OK")))</f>
        <v/>
      </c>
      <c r="M107" s="6"/>
      <c r="N107" s="5" t="str">
        <f aca="false">IF(M107="","",LEN(M107))</f>
        <v/>
      </c>
      <c r="O107" s="5" t="str">
        <f aca="false">IF(M107="","",IF(LEN(M107)&gt;160,"Too long",IF(LEN(M107)&lt;140,"Too short","OK")))</f>
        <v/>
      </c>
      <c r="P107" s="5" t="s">
        <v>56</v>
      </c>
    </row>
    <row r="108" customFormat="false" ht="26.85" hidden="false" customHeight="false" outlineLevel="0" collapsed="false">
      <c r="A108" s="5" t="s">
        <v>679</v>
      </c>
      <c r="B108" s="5" t="s">
        <v>680</v>
      </c>
      <c r="C108" s="5"/>
      <c r="D108" s="5" t="str">
        <f aca="false">IF(AND(I108=0,G108&lt;35),"Title and description",IF(I108=0,"Description",IF(G108&lt;35,"Title",IF(OR(G108&gt;60,I108&gt;160),"Too long: trim","Nothing — keep"))))</f>
        <v>Description</v>
      </c>
      <c r="E108" s="5" t="s">
        <v>333</v>
      </c>
      <c r="F108" s="5" t="s">
        <v>681</v>
      </c>
      <c r="G108" s="5" t="n">
        <f aca="false">LEN(F108)</f>
        <v>42</v>
      </c>
      <c r="H108" s="5" t="s">
        <v>88</v>
      </c>
      <c r="I108" s="5" t="n">
        <f aca="false">IF(H108="(none)",0,LEN(H108))</f>
        <v>0</v>
      </c>
      <c r="J108" s="6"/>
      <c r="K108" s="5" t="str">
        <f aca="false">IF(J108="","",LEN(J108))</f>
        <v/>
      </c>
      <c r="L108" s="5" t="str">
        <f aca="false">IF(J108="","",IF(LEN(J108)&gt;60,"Too long",IF(LEN(J108)&lt;50,"Too short","OK")))</f>
        <v/>
      </c>
      <c r="M108" s="6"/>
      <c r="N108" s="5" t="str">
        <f aca="false">IF(M108="","",LEN(M108))</f>
        <v/>
      </c>
      <c r="O108" s="5" t="str">
        <f aca="false">IF(M108="","",IF(LEN(M108)&gt;160,"Too long",IF(LEN(M108)&lt;140,"Too short","OK")))</f>
        <v/>
      </c>
      <c r="P108" s="5" t="s">
        <v>56</v>
      </c>
    </row>
    <row r="109" customFormat="false" ht="26.85" hidden="false" customHeight="false" outlineLevel="0" collapsed="false">
      <c r="A109" s="5" t="s">
        <v>682</v>
      </c>
      <c r="B109" s="5" t="s">
        <v>683</v>
      </c>
      <c r="C109" s="5"/>
      <c r="D109" s="5" t="str">
        <f aca="false">IF(AND(I109=0,G109&lt;35),"Title and description",IF(I109=0,"Description",IF(G109&lt;35,"Title",IF(OR(G109&gt;60,I109&gt;160),"Too long: trim","Nothing — keep"))))</f>
        <v>Description</v>
      </c>
      <c r="E109" s="5" t="s">
        <v>333</v>
      </c>
      <c r="F109" s="5" t="s">
        <v>684</v>
      </c>
      <c r="G109" s="5" t="n">
        <f aca="false">LEN(F109)</f>
        <v>35</v>
      </c>
      <c r="H109" s="5" t="s">
        <v>88</v>
      </c>
      <c r="I109" s="5" t="n">
        <f aca="false">IF(H109="(none)",0,LEN(H109))</f>
        <v>0</v>
      </c>
      <c r="J109" s="6"/>
      <c r="K109" s="5" t="str">
        <f aca="false">IF(J109="","",LEN(J109))</f>
        <v/>
      </c>
      <c r="L109" s="5" t="str">
        <f aca="false">IF(J109="","",IF(LEN(J109)&gt;60,"Too long",IF(LEN(J109)&lt;50,"Too short","OK")))</f>
        <v/>
      </c>
      <c r="M109" s="6"/>
      <c r="N109" s="5" t="str">
        <f aca="false">IF(M109="","",LEN(M109))</f>
        <v/>
      </c>
      <c r="O109" s="5" t="str">
        <f aca="false">IF(M109="","",IF(LEN(M109)&gt;160,"Too long",IF(LEN(M109)&lt;140,"Too short","OK")))</f>
        <v/>
      </c>
      <c r="P109" s="5" t="s">
        <v>56</v>
      </c>
    </row>
    <row r="110" customFormat="false" ht="15" hidden="false" customHeight="false" outlineLevel="0" collapsed="false">
      <c r="A110" s="5" t="s">
        <v>685</v>
      </c>
      <c r="B110" s="5" t="s">
        <v>686</v>
      </c>
      <c r="C110" s="5"/>
      <c r="D110" s="5" t="str">
        <f aca="false">IF(AND(I110=0,G110&lt;35),"Title and description",IF(I110=0,"Description",IF(G110&lt;35,"Title",IF(OR(G110&gt;60,I110&gt;160),"Too long: trim","Nothing — keep"))))</f>
        <v>Title and description</v>
      </c>
      <c r="E110" s="5" t="s">
        <v>333</v>
      </c>
      <c r="F110" s="5" t="s">
        <v>687</v>
      </c>
      <c r="G110" s="5" t="n">
        <f aca="false">LEN(F110)</f>
        <v>24</v>
      </c>
      <c r="H110" s="5" t="s">
        <v>88</v>
      </c>
      <c r="I110" s="5" t="n">
        <f aca="false">IF(H110="(none)",0,LEN(H110))</f>
        <v>0</v>
      </c>
      <c r="J110" s="6"/>
      <c r="K110" s="5" t="str">
        <f aca="false">IF(J110="","",LEN(J110))</f>
        <v/>
      </c>
      <c r="L110" s="5" t="str">
        <f aca="false">IF(J110="","",IF(LEN(J110)&gt;60,"Too long",IF(LEN(J110)&lt;50,"Too short","OK")))</f>
        <v/>
      </c>
      <c r="M110" s="6"/>
      <c r="N110" s="5" t="str">
        <f aca="false">IF(M110="","",LEN(M110))</f>
        <v/>
      </c>
      <c r="O110" s="5" t="str">
        <f aca="false">IF(M110="","",IF(LEN(M110)&gt;160,"Too long",IF(LEN(M110)&lt;140,"Too short","OK")))</f>
        <v/>
      </c>
      <c r="P110" s="5" t="s">
        <v>56</v>
      </c>
    </row>
    <row r="111" customFormat="false" ht="15" hidden="false" customHeight="false" outlineLevel="0" collapsed="false">
      <c r="A111" s="5" t="s">
        <v>688</v>
      </c>
      <c r="B111" s="5" t="s">
        <v>689</v>
      </c>
      <c r="C111" s="5"/>
      <c r="D111" s="5" t="str">
        <f aca="false">IF(AND(I111=0,G111&lt;35),"Title and description",IF(I111=0,"Description",IF(G111&lt;35,"Title",IF(OR(G111&gt;60,I111&gt;160),"Too long: trim","Nothing — keep"))))</f>
        <v>Title and description</v>
      </c>
      <c r="E111" s="5" t="s">
        <v>51</v>
      </c>
      <c r="F111" s="5" t="s">
        <v>690</v>
      </c>
      <c r="G111" s="5" t="n">
        <f aca="false">LEN(F111)</f>
        <v>22</v>
      </c>
      <c r="H111" s="5" t="s">
        <v>88</v>
      </c>
      <c r="I111" s="5" t="n">
        <f aca="false">IF(H111="(none)",0,LEN(H111))</f>
        <v>0</v>
      </c>
      <c r="J111" s="6"/>
      <c r="K111" s="5" t="str">
        <f aca="false">IF(J111="","",LEN(J111))</f>
        <v/>
      </c>
      <c r="L111" s="5" t="str">
        <f aca="false">IF(J111="","",IF(LEN(J111)&gt;60,"Too long",IF(LEN(J111)&lt;50,"Too short","OK")))</f>
        <v/>
      </c>
      <c r="M111" s="6"/>
      <c r="N111" s="5" t="str">
        <f aca="false">IF(M111="","",LEN(M111))</f>
        <v/>
      </c>
      <c r="O111" s="5" t="str">
        <f aca="false">IF(M111="","",IF(LEN(M111)&gt;160,"Too long",IF(LEN(M111)&lt;140,"Too short","OK")))</f>
        <v/>
      </c>
      <c r="P111" s="5" t="s">
        <v>56</v>
      </c>
    </row>
    <row r="112" customFormat="false" ht="15" hidden="false" customHeight="false" outlineLevel="0" collapsed="false">
      <c r="A112" s="5" t="s">
        <v>691</v>
      </c>
      <c r="B112" s="5" t="s">
        <v>692</v>
      </c>
      <c r="C112" s="5"/>
      <c r="D112" s="5" t="str">
        <f aca="false">IF(AND(I112=0,G112&lt;35),"Title and description",IF(I112=0,"Description",IF(G112&lt;35,"Title",IF(OR(G112&gt;60,I112&gt;160),"Too long: trim","Nothing — keep"))))</f>
        <v>Title and description</v>
      </c>
      <c r="E112" s="5" t="s">
        <v>51</v>
      </c>
      <c r="F112" s="5" t="s">
        <v>693</v>
      </c>
      <c r="G112" s="5" t="n">
        <f aca="false">LEN(F112)</f>
        <v>22</v>
      </c>
      <c r="H112" s="5" t="s">
        <v>88</v>
      </c>
      <c r="I112" s="5" t="n">
        <f aca="false">IF(H112="(none)",0,LEN(H112))</f>
        <v>0</v>
      </c>
      <c r="J112" s="6"/>
      <c r="K112" s="5" t="str">
        <f aca="false">IF(J112="","",LEN(J112))</f>
        <v/>
      </c>
      <c r="L112" s="5" t="str">
        <f aca="false">IF(J112="","",IF(LEN(J112)&gt;60,"Too long",IF(LEN(J112)&lt;50,"Too short","OK")))</f>
        <v/>
      </c>
      <c r="M112" s="6"/>
      <c r="N112" s="5" t="str">
        <f aca="false">IF(M112="","",LEN(M112))</f>
        <v/>
      </c>
      <c r="O112" s="5" t="str">
        <f aca="false">IF(M112="","",IF(LEN(M112)&gt;160,"Too long",IF(LEN(M112)&lt;140,"Too short","OK")))</f>
        <v/>
      </c>
      <c r="P112" s="5" t="s">
        <v>56</v>
      </c>
    </row>
    <row r="113" customFormat="false" ht="26.85" hidden="false" customHeight="false" outlineLevel="0" collapsed="false">
      <c r="A113" s="5" t="s">
        <v>694</v>
      </c>
      <c r="B113" s="5" t="s">
        <v>695</v>
      </c>
      <c r="C113" s="5"/>
      <c r="D113" s="5" t="str">
        <f aca="false">IF(AND(I113=0,G113&lt;35),"Title and description",IF(I113=0,"Description",IF(G113&lt;35,"Title",IF(OR(G113&gt;60,I113&gt;160),"Too long: trim","Nothing — keep"))))</f>
        <v>Title and description</v>
      </c>
      <c r="E113" s="5" t="s">
        <v>51</v>
      </c>
      <c r="F113" s="5" t="s">
        <v>696</v>
      </c>
      <c r="G113" s="5" t="n">
        <f aca="false">LEN(F113)</f>
        <v>34</v>
      </c>
      <c r="H113" s="5" t="s">
        <v>88</v>
      </c>
      <c r="I113" s="5" t="n">
        <f aca="false">IF(H113="(none)",0,LEN(H113))</f>
        <v>0</v>
      </c>
      <c r="J113" s="6"/>
      <c r="K113" s="5" t="str">
        <f aca="false">IF(J113="","",LEN(J113))</f>
        <v/>
      </c>
      <c r="L113" s="5" t="str">
        <f aca="false">IF(J113="","",IF(LEN(J113)&gt;60,"Too long",IF(LEN(J113)&lt;50,"Too short","OK")))</f>
        <v/>
      </c>
      <c r="M113" s="6"/>
      <c r="N113" s="5" t="str">
        <f aca="false">IF(M113="","",LEN(M113))</f>
        <v/>
      </c>
      <c r="O113" s="5" t="str">
        <f aca="false">IF(M113="","",IF(LEN(M113)&gt;160,"Too long",IF(LEN(M113)&lt;140,"Too short","OK")))</f>
        <v/>
      </c>
      <c r="P113" s="5" t="s">
        <v>56</v>
      </c>
    </row>
    <row r="114" customFormat="false" ht="15" hidden="false" customHeight="false" outlineLevel="0" collapsed="false">
      <c r="A114" s="5" t="s">
        <v>697</v>
      </c>
      <c r="B114" s="5" t="s">
        <v>698</v>
      </c>
      <c r="C114" s="5"/>
      <c r="D114" s="5" t="str">
        <f aca="false">IF(AND(I114=0,G114&lt;35),"Title and description",IF(I114=0,"Description",IF(G114&lt;35,"Title",IF(OR(G114&gt;60,I114&gt;160),"Too long: trim","Nothing — keep"))))</f>
        <v>Title and description</v>
      </c>
      <c r="E114" s="5" t="s">
        <v>51</v>
      </c>
      <c r="F114" s="5" t="s">
        <v>699</v>
      </c>
      <c r="G114" s="5" t="n">
        <f aca="false">LEN(F114)</f>
        <v>23</v>
      </c>
      <c r="H114" s="5" t="s">
        <v>88</v>
      </c>
      <c r="I114" s="5" t="n">
        <f aca="false">IF(H114="(none)",0,LEN(H114))</f>
        <v>0</v>
      </c>
      <c r="J114" s="6"/>
      <c r="K114" s="5" t="str">
        <f aca="false">IF(J114="","",LEN(J114))</f>
        <v/>
      </c>
      <c r="L114" s="5" t="str">
        <f aca="false">IF(J114="","",IF(LEN(J114)&gt;60,"Too long",IF(LEN(J114)&lt;50,"Too short","OK")))</f>
        <v/>
      </c>
      <c r="M114" s="6"/>
      <c r="N114" s="5" t="str">
        <f aca="false">IF(M114="","",LEN(M114))</f>
        <v/>
      </c>
      <c r="O114" s="5" t="str">
        <f aca="false">IF(M114="","",IF(LEN(M114)&gt;160,"Too long",IF(LEN(M114)&lt;140,"Too short","OK")))</f>
        <v/>
      </c>
      <c r="P114" s="5" t="s">
        <v>56</v>
      </c>
    </row>
    <row r="115" customFormat="false" ht="15" hidden="false" customHeight="false" outlineLevel="0" collapsed="false">
      <c r="A115" s="5" t="s">
        <v>700</v>
      </c>
      <c r="B115" s="5" t="s">
        <v>701</v>
      </c>
      <c r="C115" s="5"/>
      <c r="D115" s="5" t="str">
        <f aca="false">IF(AND(I115=0,G115&lt;35),"Title and description",IF(I115=0,"Description",IF(G115&lt;35,"Title",IF(OR(G115&gt;60,I115&gt;160),"Too long: trim","Nothing — keep"))))</f>
        <v>Title and description</v>
      </c>
      <c r="E115" s="5" t="s">
        <v>51</v>
      </c>
      <c r="F115" s="5" t="s">
        <v>702</v>
      </c>
      <c r="G115" s="5" t="n">
        <f aca="false">LEN(F115)</f>
        <v>23</v>
      </c>
      <c r="H115" s="5" t="s">
        <v>88</v>
      </c>
      <c r="I115" s="5" t="n">
        <f aca="false">IF(H115="(none)",0,LEN(H115))</f>
        <v>0</v>
      </c>
      <c r="J115" s="6"/>
      <c r="K115" s="5" t="str">
        <f aca="false">IF(J115="","",LEN(J115))</f>
        <v/>
      </c>
      <c r="L115" s="5" t="str">
        <f aca="false">IF(J115="","",IF(LEN(J115)&gt;60,"Too long",IF(LEN(J115)&lt;50,"Too short","OK")))</f>
        <v/>
      </c>
      <c r="M115" s="6"/>
      <c r="N115" s="5" t="str">
        <f aca="false">IF(M115="","",LEN(M115))</f>
        <v/>
      </c>
      <c r="O115" s="5" t="str">
        <f aca="false">IF(M115="","",IF(LEN(M115)&gt;160,"Too long",IF(LEN(M115)&lt;140,"Too short","OK")))</f>
        <v/>
      </c>
      <c r="P115" s="5" t="s">
        <v>56</v>
      </c>
    </row>
    <row r="116" customFormat="false" ht="15" hidden="false" customHeight="false" outlineLevel="0" collapsed="false">
      <c r="A116" s="5" t="s">
        <v>703</v>
      </c>
      <c r="B116" s="5" t="s">
        <v>704</v>
      </c>
      <c r="C116" s="5"/>
      <c r="D116" s="5" t="str">
        <f aca="false">IF(AND(I116=0,G116&lt;35),"Title and description",IF(I116=0,"Description",IF(G116&lt;35,"Title",IF(OR(G116&gt;60,I116&gt;160),"Too long: trim","Nothing — keep"))))</f>
        <v>Title and description</v>
      </c>
      <c r="E116" s="5" t="s">
        <v>51</v>
      </c>
      <c r="F116" s="5" t="s">
        <v>705</v>
      </c>
      <c r="G116" s="5" t="n">
        <f aca="false">LEN(F116)</f>
        <v>25</v>
      </c>
      <c r="H116" s="5" t="s">
        <v>88</v>
      </c>
      <c r="I116" s="5" t="n">
        <f aca="false">IF(H116="(none)",0,LEN(H116))</f>
        <v>0</v>
      </c>
      <c r="J116" s="6"/>
      <c r="K116" s="5" t="str">
        <f aca="false">IF(J116="","",LEN(J116))</f>
        <v/>
      </c>
      <c r="L116" s="5" t="str">
        <f aca="false">IF(J116="","",IF(LEN(J116)&gt;60,"Too long",IF(LEN(J116)&lt;50,"Too short","OK")))</f>
        <v/>
      </c>
      <c r="M116" s="6"/>
      <c r="N116" s="5" t="str">
        <f aca="false">IF(M116="","",LEN(M116))</f>
        <v/>
      </c>
      <c r="O116" s="5" t="str">
        <f aca="false">IF(M116="","",IF(LEN(M116)&gt;160,"Too long",IF(LEN(M116)&lt;140,"Too short","OK")))</f>
        <v/>
      </c>
      <c r="P116" s="5" t="s">
        <v>56</v>
      </c>
    </row>
    <row r="117" customFormat="false" ht="26.85" hidden="false" customHeight="false" outlineLevel="0" collapsed="false">
      <c r="A117" s="5" t="s">
        <v>706</v>
      </c>
      <c r="B117" s="5" t="s">
        <v>707</v>
      </c>
      <c r="C117" s="5"/>
      <c r="D117" s="5" t="str">
        <f aca="false">IF(AND(I117=0,G117&lt;35),"Title and description",IF(I117=0,"Description",IF(G117&lt;35,"Title",IF(OR(G117&gt;60,I117&gt;160),"Too long: trim","Nothing — keep"))))</f>
        <v>Description</v>
      </c>
      <c r="E117" s="5" t="s">
        <v>333</v>
      </c>
      <c r="F117" s="5" t="s">
        <v>708</v>
      </c>
      <c r="G117" s="5" t="n">
        <f aca="false">LEN(F117)</f>
        <v>36</v>
      </c>
      <c r="H117" s="5" t="s">
        <v>88</v>
      </c>
      <c r="I117" s="5" t="n">
        <f aca="false">IF(H117="(none)",0,LEN(H117))</f>
        <v>0</v>
      </c>
      <c r="J117" s="6"/>
      <c r="K117" s="5" t="str">
        <f aca="false">IF(J117="","",LEN(J117))</f>
        <v/>
      </c>
      <c r="L117" s="5" t="str">
        <f aca="false">IF(J117="","",IF(LEN(J117)&gt;60,"Too long",IF(LEN(J117)&lt;50,"Too short","OK")))</f>
        <v/>
      </c>
      <c r="M117" s="6"/>
      <c r="N117" s="5" t="str">
        <f aca="false">IF(M117="","",LEN(M117))</f>
        <v/>
      </c>
      <c r="O117" s="5" t="str">
        <f aca="false">IF(M117="","",IF(LEN(M117)&gt;160,"Too long",IF(LEN(M117)&lt;140,"Too short","OK")))</f>
        <v/>
      </c>
      <c r="P117" s="5" t="s">
        <v>56</v>
      </c>
    </row>
    <row r="118" customFormat="false" ht="26.85" hidden="false" customHeight="false" outlineLevel="0" collapsed="false">
      <c r="A118" s="5" t="s">
        <v>709</v>
      </c>
      <c r="B118" s="5" t="s">
        <v>710</v>
      </c>
      <c r="C118" s="5"/>
      <c r="D118" s="5" t="str">
        <f aca="false">IF(AND(I118=0,G118&lt;35),"Title and description",IF(I118=0,"Description",IF(G118&lt;35,"Title",IF(OR(G118&gt;60,I118&gt;160),"Too long: trim","Nothing — keep"))))</f>
        <v>Title and description</v>
      </c>
      <c r="E118" s="5" t="s">
        <v>51</v>
      </c>
      <c r="F118" s="5" t="s">
        <v>711</v>
      </c>
      <c r="G118" s="5" t="n">
        <f aca="false">LEN(F118)</f>
        <v>29</v>
      </c>
      <c r="H118" s="5" t="s">
        <v>88</v>
      </c>
      <c r="I118" s="5" t="n">
        <f aca="false">IF(H118="(none)",0,LEN(H118))</f>
        <v>0</v>
      </c>
      <c r="J118" s="6"/>
      <c r="K118" s="5" t="str">
        <f aca="false">IF(J118="","",LEN(J118))</f>
        <v/>
      </c>
      <c r="L118" s="5" t="str">
        <f aca="false">IF(J118="","",IF(LEN(J118)&gt;60,"Too long",IF(LEN(J118)&lt;50,"Too short","OK")))</f>
        <v/>
      </c>
      <c r="M118" s="6"/>
      <c r="N118" s="5" t="str">
        <f aca="false">IF(M118="","",LEN(M118))</f>
        <v/>
      </c>
      <c r="O118" s="5" t="str">
        <f aca="false">IF(M118="","",IF(LEN(M118)&gt;160,"Too long",IF(LEN(M118)&lt;140,"Too short","OK")))</f>
        <v/>
      </c>
      <c r="P118" s="5" t="s">
        <v>56</v>
      </c>
    </row>
    <row r="119" customFormat="false" ht="26.85" hidden="false" customHeight="false" outlineLevel="0" collapsed="false">
      <c r="A119" s="5" t="s">
        <v>186</v>
      </c>
      <c r="B119" s="5" t="s">
        <v>712</v>
      </c>
      <c r="C119" s="5"/>
      <c r="D119" s="5" t="str">
        <f aca="false">IF(AND(I119=0,G119&lt;35),"Title and description",IF(I119=0,"Description",IF(G119&lt;35,"Title",IF(OR(G119&gt;60,I119&gt;160),"Too long: trim","Nothing — keep"))))</f>
        <v>Title and description</v>
      </c>
      <c r="E119" s="5" t="s">
        <v>51</v>
      </c>
      <c r="F119" s="5" t="s">
        <v>188</v>
      </c>
      <c r="G119" s="5" t="n">
        <f aca="false">LEN(F119)</f>
        <v>32</v>
      </c>
      <c r="H119" s="5" t="s">
        <v>88</v>
      </c>
      <c r="I119" s="5" t="n">
        <f aca="false">IF(H119="(none)",0,LEN(H119))</f>
        <v>0</v>
      </c>
      <c r="J119" s="6"/>
      <c r="K119" s="5" t="str">
        <f aca="false">IF(J119="","",LEN(J119))</f>
        <v/>
      </c>
      <c r="L119" s="5" t="str">
        <f aca="false">IF(J119="","",IF(LEN(J119)&gt;60,"Too long",IF(LEN(J119)&lt;50,"Too short","OK")))</f>
        <v/>
      </c>
      <c r="M119" s="6"/>
      <c r="N119" s="5" t="str">
        <f aca="false">IF(M119="","",LEN(M119))</f>
        <v/>
      </c>
      <c r="O119" s="5" t="str">
        <f aca="false">IF(M119="","",IF(LEN(M119)&gt;160,"Too long",IF(LEN(M119)&lt;140,"Too short","OK")))</f>
        <v/>
      </c>
      <c r="P119" s="5" t="s">
        <v>56</v>
      </c>
    </row>
    <row r="120" customFormat="false" ht="26.85" hidden="false" customHeight="false" outlineLevel="0" collapsed="false">
      <c r="A120" s="5" t="s">
        <v>713</v>
      </c>
      <c r="B120" s="5" t="s">
        <v>714</v>
      </c>
      <c r="C120" s="5"/>
      <c r="D120" s="5" t="str">
        <f aca="false">IF(AND(I120=0,G120&lt;35),"Title and description",IF(I120=0,"Description",IF(G120&lt;35,"Title",IF(OR(G120&gt;60,I120&gt;160),"Too long: trim","Nothing — keep"))))</f>
        <v>Description</v>
      </c>
      <c r="E120" s="5" t="s">
        <v>51</v>
      </c>
      <c r="F120" s="5" t="s">
        <v>715</v>
      </c>
      <c r="G120" s="5" t="n">
        <f aca="false">LEN(F120)</f>
        <v>36</v>
      </c>
      <c r="H120" s="5" t="s">
        <v>88</v>
      </c>
      <c r="I120" s="5" t="n">
        <f aca="false">IF(H120="(none)",0,LEN(H120))</f>
        <v>0</v>
      </c>
      <c r="J120" s="6"/>
      <c r="K120" s="5" t="str">
        <f aca="false">IF(J120="","",LEN(J120))</f>
        <v/>
      </c>
      <c r="L120" s="5" t="str">
        <f aca="false">IF(J120="","",IF(LEN(J120)&gt;60,"Too long",IF(LEN(J120)&lt;50,"Too short","OK")))</f>
        <v/>
      </c>
      <c r="M120" s="6"/>
      <c r="N120" s="5" t="str">
        <f aca="false">IF(M120="","",LEN(M120))</f>
        <v/>
      </c>
      <c r="O120" s="5" t="str">
        <f aca="false">IF(M120="","",IF(LEN(M120)&gt;160,"Too long",IF(LEN(M120)&lt;140,"Too short","OK")))</f>
        <v/>
      </c>
      <c r="P120" s="5" t="s">
        <v>56</v>
      </c>
    </row>
    <row r="121" customFormat="false" ht="26.85" hidden="false" customHeight="false" outlineLevel="0" collapsed="false">
      <c r="A121" s="5" t="s">
        <v>716</v>
      </c>
      <c r="B121" s="5" t="s">
        <v>717</v>
      </c>
      <c r="C121" s="5"/>
      <c r="D121" s="5" t="str">
        <f aca="false">IF(AND(I121=0,G121&lt;35),"Title and description",IF(I121=0,"Description",IF(G121&lt;35,"Title",IF(OR(G121&gt;60,I121&gt;160),"Too long: trim","Nothing — keep"))))</f>
        <v>Title and description</v>
      </c>
      <c r="E121" s="5" t="s">
        <v>51</v>
      </c>
      <c r="F121" s="5" t="s">
        <v>718</v>
      </c>
      <c r="G121" s="5" t="n">
        <f aca="false">LEN(F121)</f>
        <v>26</v>
      </c>
      <c r="H121" s="5" t="s">
        <v>88</v>
      </c>
      <c r="I121" s="5" t="n">
        <f aca="false">IF(H121="(none)",0,LEN(H121))</f>
        <v>0</v>
      </c>
      <c r="J121" s="6"/>
      <c r="K121" s="5" t="str">
        <f aca="false">IF(J121="","",LEN(J121))</f>
        <v/>
      </c>
      <c r="L121" s="5" t="str">
        <f aca="false">IF(J121="","",IF(LEN(J121)&gt;60,"Too long",IF(LEN(J121)&lt;50,"Too short","OK")))</f>
        <v/>
      </c>
      <c r="M121" s="6"/>
      <c r="N121" s="5" t="str">
        <f aca="false">IF(M121="","",LEN(M121))</f>
        <v/>
      </c>
      <c r="O121" s="5" t="str">
        <f aca="false">IF(M121="","",IF(LEN(M121)&gt;160,"Too long",IF(LEN(M121)&lt;140,"Too short","OK")))</f>
        <v/>
      </c>
      <c r="P121" s="5" t="s">
        <v>56</v>
      </c>
    </row>
    <row r="122" customFormat="false" ht="26.85" hidden="false" customHeight="false" outlineLevel="0" collapsed="false">
      <c r="A122" s="5" t="s">
        <v>719</v>
      </c>
      <c r="B122" s="5" t="s">
        <v>720</v>
      </c>
      <c r="C122" s="5"/>
      <c r="D122" s="5" t="str">
        <f aca="false">IF(AND(I122=0,G122&lt;35),"Title and description",IF(I122=0,"Description",IF(G122&lt;35,"Title",IF(OR(G122&gt;60,I122&gt;160),"Too long: trim","Nothing — keep"))))</f>
        <v>Title and description</v>
      </c>
      <c r="E122" s="5" t="s">
        <v>51</v>
      </c>
      <c r="F122" s="5" t="s">
        <v>721</v>
      </c>
      <c r="G122" s="5" t="n">
        <f aca="false">LEN(F122)</f>
        <v>30</v>
      </c>
      <c r="H122" s="5" t="s">
        <v>88</v>
      </c>
      <c r="I122" s="5" t="n">
        <f aca="false">IF(H122="(none)",0,LEN(H122))</f>
        <v>0</v>
      </c>
      <c r="J122" s="6"/>
      <c r="K122" s="5" t="str">
        <f aca="false">IF(J122="","",LEN(J122))</f>
        <v/>
      </c>
      <c r="L122" s="5" t="str">
        <f aca="false">IF(J122="","",IF(LEN(J122)&gt;60,"Too long",IF(LEN(J122)&lt;50,"Too short","OK")))</f>
        <v/>
      </c>
      <c r="M122" s="6"/>
      <c r="N122" s="5" t="str">
        <f aca="false">IF(M122="","",LEN(M122))</f>
        <v/>
      </c>
      <c r="O122" s="5" t="str">
        <f aca="false">IF(M122="","",IF(LEN(M122)&gt;160,"Too long",IF(LEN(M122)&lt;140,"Too short","OK")))</f>
        <v/>
      </c>
      <c r="P122" s="5" t="s">
        <v>56</v>
      </c>
    </row>
    <row r="123" customFormat="false" ht="26.85" hidden="false" customHeight="false" outlineLevel="0" collapsed="false">
      <c r="A123" s="5" t="s">
        <v>722</v>
      </c>
      <c r="B123" s="5" t="s">
        <v>723</v>
      </c>
      <c r="C123" s="5"/>
      <c r="D123" s="5" t="str">
        <f aca="false">IF(AND(I123=0,G123&lt;35),"Title and description",IF(I123=0,"Description",IF(G123&lt;35,"Title",IF(OR(G123&gt;60,I123&gt;160),"Too long: trim","Nothing — keep"))))</f>
        <v>Title and description</v>
      </c>
      <c r="E123" s="5" t="s">
        <v>51</v>
      </c>
      <c r="F123" s="5" t="s">
        <v>724</v>
      </c>
      <c r="G123" s="5" t="n">
        <f aca="false">LEN(F123)</f>
        <v>27</v>
      </c>
      <c r="H123" s="5" t="s">
        <v>88</v>
      </c>
      <c r="I123" s="5" t="n">
        <f aca="false">IF(H123="(none)",0,LEN(H123))</f>
        <v>0</v>
      </c>
      <c r="J123" s="6"/>
      <c r="K123" s="5" t="str">
        <f aca="false">IF(J123="","",LEN(J123))</f>
        <v/>
      </c>
      <c r="L123" s="5" t="str">
        <f aca="false">IF(J123="","",IF(LEN(J123)&gt;60,"Too long",IF(LEN(J123)&lt;50,"Too short","OK")))</f>
        <v/>
      </c>
      <c r="M123" s="6"/>
      <c r="N123" s="5" t="str">
        <f aca="false">IF(M123="","",LEN(M123))</f>
        <v/>
      </c>
      <c r="O123" s="5" t="str">
        <f aca="false">IF(M123="","",IF(LEN(M123)&gt;160,"Too long",IF(LEN(M123)&lt;140,"Too short","OK")))</f>
        <v/>
      </c>
      <c r="P123" s="5" t="s">
        <v>56</v>
      </c>
    </row>
    <row r="124" customFormat="false" ht="15" hidden="false" customHeight="false" outlineLevel="0" collapsed="false">
      <c r="A124" s="5" t="s">
        <v>725</v>
      </c>
      <c r="B124" s="5" t="s">
        <v>726</v>
      </c>
      <c r="C124" s="5"/>
      <c r="D124" s="5" t="str">
        <f aca="false">IF(AND(I124=0,G124&lt;35),"Title and description",IF(I124=0,"Description",IF(G124&lt;35,"Title",IF(OR(G124&gt;60,I124&gt;160),"Too long: trim","Nothing — keep"))))</f>
        <v>Title and description</v>
      </c>
      <c r="E124" s="5" t="s">
        <v>51</v>
      </c>
      <c r="F124" s="5" t="s">
        <v>727</v>
      </c>
      <c r="G124" s="5" t="n">
        <f aca="false">LEN(F124)</f>
        <v>19</v>
      </c>
      <c r="H124" s="5" t="s">
        <v>88</v>
      </c>
      <c r="I124" s="5" t="n">
        <f aca="false">IF(H124="(none)",0,LEN(H124))</f>
        <v>0</v>
      </c>
      <c r="J124" s="6"/>
      <c r="K124" s="5" t="str">
        <f aca="false">IF(J124="","",LEN(J124))</f>
        <v/>
      </c>
      <c r="L124" s="5" t="str">
        <f aca="false">IF(J124="","",IF(LEN(J124)&gt;60,"Too long",IF(LEN(J124)&lt;50,"Too short","OK")))</f>
        <v/>
      </c>
      <c r="M124" s="6"/>
      <c r="N124" s="5" t="str">
        <f aca="false">IF(M124="","",LEN(M124))</f>
        <v/>
      </c>
      <c r="O124" s="5" t="str">
        <f aca="false">IF(M124="","",IF(LEN(M124)&gt;160,"Too long",IF(LEN(M124)&lt;140,"Too short","OK")))</f>
        <v/>
      </c>
      <c r="P124" s="5" t="s">
        <v>56</v>
      </c>
    </row>
    <row r="125" customFormat="false" ht="26.85" hidden="false" customHeight="false" outlineLevel="0" collapsed="false">
      <c r="A125" s="5" t="s">
        <v>728</v>
      </c>
      <c r="B125" s="5" t="s">
        <v>729</v>
      </c>
      <c r="C125" s="5"/>
      <c r="D125" s="5" t="str">
        <f aca="false">IF(AND(I125=0,G125&lt;35),"Title and description",IF(I125=0,"Description",IF(G125&lt;35,"Title",IF(OR(G125&gt;60,I125&gt;160),"Too long: trim","Nothing — keep"))))</f>
        <v>Title and description</v>
      </c>
      <c r="E125" s="5" t="s">
        <v>51</v>
      </c>
      <c r="F125" s="5" t="s">
        <v>730</v>
      </c>
      <c r="G125" s="5" t="n">
        <f aca="false">LEN(F125)</f>
        <v>26</v>
      </c>
      <c r="H125" s="5" t="s">
        <v>88</v>
      </c>
      <c r="I125" s="5" t="n">
        <f aca="false">IF(H125="(none)",0,LEN(H125))</f>
        <v>0</v>
      </c>
      <c r="J125" s="6"/>
      <c r="K125" s="5" t="str">
        <f aca="false">IF(J125="","",LEN(J125))</f>
        <v/>
      </c>
      <c r="L125" s="5" t="str">
        <f aca="false">IF(J125="","",IF(LEN(J125)&gt;60,"Too long",IF(LEN(J125)&lt;50,"Too short","OK")))</f>
        <v/>
      </c>
      <c r="M125" s="6"/>
      <c r="N125" s="5" t="str">
        <f aca="false">IF(M125="","",LEN(M125))</f>
        <v/>
      </c>
      <c r="O125" s="5" t="str">
        <f aca="false">IF(M125="","",IF(LEN(M125)&gt;160,"Too long",IF(LEN(M125)&lt;140,"Too short","OK")))</f>
        <v/>
      </c>
      <c r="P125" s="5" t="s">
        <v>56</v>
      </c>
    </row>
    <row r="126" customFormat="false" ht="15" hidden="false" customHeight="false" outlineLevel="0" collapsed="false">
      <c r="A126" s="5" t="s">
        <v>731</v>
      </c>
      <c r="B126" s="5" t="s">
        <v>732</v>
      </c>
      <c r="C126" s="5"/>
      <c r="D126" s="5" t="str">
        <f aca="false">IF(AND(I126=0,G126&lt;35),"Title and description",IF(I126=0,"Description",IF(G126&lt;35,"Title",IF(OR(G126&gt;60,I126&gt;160),"Too long: trim","Nothing — keep"))))</f>
        <v>Title and description</v>
      </c>
      <c r="E126" s="5" t="s">
        <v>51</v>
      </c>
      <c r="F126" s="5" t="s">
        <v>733</v>
      </c>
      <c r="G126" s="5" t="n">
        <f aca="false">LEN(F126)</f>
        <v>23</v>
      </c>
      <c r="H126" s="5" t="s">
        <v>88</v>
      </c>
      <c r="I126" s="5" t="n">
        <f aca="false">IF(H126="(none)",0,LEN(H126))</f>
        <v>0</v>
      </c>
      <c r="J126" s="6"/>
      <c r="K126" s="5" t="str">
        <f aca="false">IF(J126="","",LEN(J126))</f>
        <v/>
      </c>
      <c r="L126" s="5" t="str">
        <f aca="false">IF(J126="","",IF(LEN(J126)&gt;60,"Too long",IF(LEN(J126)&lt;50,"Too short","OK")))</f>
        <v/>
      </c>
      <c r="M126" s="6"/>
      <c r="N126" s="5" t="str">
        <f aca="false">IF(M126="","",LEN(M126))</f>
        <v/>
      </c>
      <c r="O126" s="5" t="str">
        <f aca="false">IF(M126="","",IF(LEN(M126)&gt;160,"Too long",IF(LEN(M126)&lt;140,"Too short","OK")))</f>
        <v/>
      </c>
      <c r="P126" s="5" t="s">
        <v>56</v>
      </c>
    </row>
    <row r="127" customFormat="false" ht="26.85" hidden="false" customHeight="false" outlineLevel="0" collapsed="false">
      <c r="A127" s="5" t="s">
        <v>734</v>
      </c>
      <c r="B127" s="5" t="s">
        <v>735</v>
      </c>
      <c r="C127" s="5"/>
      <c r="D127" s="5" t="str">
        <f aca="false">IF(AND(I127=0,G127&lt;35),"Title and description",IF(I127=0,"Description",IF(G127&lt;35,"Title",IF(OR(G127&gt;60,I127&gt;160),"Too long: trim","Nothing — keep"))))</f>
        <v>Title and description</v>
      </c>
      <c r="E127" s="5" t="s">
        <v>333</v>
      </c>
      <c r="F127" s="5" t="s">
        <v>736</v>
      </c>
      <c r="G127" s="5" t="n">
        <f aca="false">LEN(F127)</f>
        <v>29</v>
      </c>
      <c r="H127" s="5" t="s">
        <v>88</v>
      </c>
      <c r="I127" s="5" t="n">
        <f aca="false">IF(H127="(none)",0,LEN(H127))</f>
        <v>0</v>
      </c>
      <c r="J127" s="6"/>
      <c r="K127" s="5" t="str">
        <f aca="false">IF(J127="","",LEN(J127))</f>
        <v/>
      </c>
      <c r="L127" s="5" t="str">
        <f aca="false">IF(J127="","",IF(LEN(J127)&gt;60,"Too long",IF(LEN(J127)&lt;50,"Too short","OK")))</f>
        <v/>
      </c>
      <c r="M127" s="6"/>
      <c r="N127" s="5" t="str">
        <f aca="false">IF(M127="","",LEN(M127))</f>
        <v/>
      </c>
      <c r="O127" s="5" t="str">
        <f aca="false">IF(M127="","",IF(LEN(M127)&gt;160,"Too long",IF(LEN(M127)&lt;140,"Too short","OK")))</f>
        <v/>
      </c>
      <c r="P127" s="5" t="s">
        <v>56</v>
      </c>
    </row>
    <row r="128" customFormat="false" ht="15" hidden="false" customHeight="false" outlineLevel="0" collapsed="false">
      <c r="A128" s="5" t="s">
        <v>737</v>
      </c>
      <c r="B128" s="5" t="s">
        <v>738</v>
      </c>
      <c r="C128" s="5"/>
      <c r="D128" s="5" t="str">
        <f aca="false">IF(AND(I128=0,G128&lt;35),"Title and description",IF(I128=0,"Description",IF(G128&lt;35,"Title",IF(OR(G128&gt;60,I128&gt;160),"Too long: trim","Nothing — keep"))))</f>
        <v>Title and description</v>
      </c>
      <c r="E128" s="5" t="s">
        <v>51</v>
      </c>
      <c r="F128" s="5" t="s">
        <v>739</v>
      </c>
      <c r="G128" s="5" t="n">
        <f aca="false">LEN(F128)</f>
        <v>21</v>
      </c>
      <c r="H128" s="5" t="s">
        <v>88</v>
      </c>
      <c r="I128" s="5" t="n">
        <f aca="false">IF(H128="(none)",0,LEN(H128))</f>
        <v>0</v>
      </c>
      <c r="J128" s="6"/>
      <c r="K128" s="5" t="str">
        <f aca="false">IF(J128="","",LEN(J128))</f>
        <v/>
      </c>
      <c r="L128" s="5" t="str">
        <f aca="false">IF(J128="","",IF(LEN(J128)&gt;60,"Too long",IF(LEN(J128)&lt;50,"Too short","OK")))</f>
        <v/>
      </c>
      <c r="M128" s="6"/>
      <c r="N128" s="5" t="str">
        <f aca="false">IF(M128="","",LEN(M128))</f>
        <v/>
      </c>
      <c r="O128" s="5" t="str">
        <f aca="false">IF(M128="","",IF(LEN(M128)&gt;160,"Too long",IF(LEN(M128)&lt;140,"Too short","OK")))</f>
        <v/>
      </c>
      <c r="P128" s="5" t="s">
        <v>56</v>
      </c>
    </row>
    <row r="129" customFormat="false" ht="15" hidden="false" customHeight="false" outlineLevel="0" collapsed="false">
      <c r="A129" s="5" t="s">
        <v>740</v>
      </c>
      <c r="B129" s="5" t="s">
        <v>741</v>
      </c>
      <c r="C129" s="5"/>
      <c r="D129" s="5" t="str">
        <f aca="false">IF(AND(I129=0,G129&lt;35),"Title and description",IF(I129=0,"Description",IF(G129&lt;35,"Title",IF(OR(G129&gt;60,I129&gt;160),"Too long: trim","Nothing — keep"))))</f>
        <v>Title and description</v>
      </c>
      <c r="E129" s="5" t="s">
        <v>51</v>
      </c>
      <c r="F129" s="5" t="s">
        <v>742</v>
      </c>
      <c r="G129" s="5" t="n">
        <f aca="false">LEN(F129)</f>
        <v>24</v>
      </c>
      <c r="H129" s="5" t="s">
        <v>88</v>
      </c>
      <c r="I129" s="5" t="n">
        <f aca="false">IF(H129="(none)",0,LEN(H129))</f>
        <v>0</v>
      </c>
      <c r="J129" s="6"/>
      <c r="K129" s="5" t="str">
        <f aca="false">IF(J129="","",LEN(J129))</f>
        <v/>
      </c>
      <c r="L129" s="5" t="str">
        <f aca="false">IF(J129="","",IF(LEN(J129)&gt;60,"Too long",IF(LEN(J129)&lt;50,"Too short","OK")))</f>
        <v/>
      </c>
      <c r="M129" s="6"/>
      <c r="N129" s="5" t="str">
        <f aca="false">IF(M129="","",LEN(M129))</f>
        <v/>
      </c>
      <c r="O129" s="5" t="str">
        <f aca="false">IF(M129="","",IF(LEN(M129)&gt;160,"Too long",IF(LEN(M129)&lt;140,"Too short","OK")))</f>
        <v/>
      </c>
      <c r="P129" s="5" t="s">
        <v>56</v>
      </c>
    </row>
    <row r="130" customFormat="false" ht="26.85" hidden="false" customHeight="false" outlineLevel="0" collapsed="false">
      <c r="A130" s="5" t="s">
        <v>743</v>
      </c>
      <c r="B130" s="5" t="s">
        <v>744</v>
      </c>
      <c r="C130" s="5"/>
      <c r="D130" s="5" t="str">
        <f aca="false">IF(AND(I130=0,G130&lt;35),"Title and description",IF(I130=0,"Description",IF(G130&lt;35,"Title",IF(OR(G130&gt;60,I130&gt;160),"Too long: trim","Nothing — keep"))))</f>
        <v>Description</v>
      </c>
      <c r="E130" s="5" t="s">
        <v>51</v>
      </c>
      <c r="F130" s="5" t="s">
        <v>745</v>
      </c>
      <c r="G130" s="5" t="n">
        <f aca="false">LEN(F130)</f>
        <v>40</v>
      </c>
      <c r="H130" s="5" t="s">
        <v>88</v>
      </c>
      <c r="I130" s="5" t="n">
        <f aca="false">IF(H130="(none)",0,LEN(H130))</f>
        <v>0</v>
      </c>
      <c r="J130" s="6"/>
      <c r="K130" s="5" t="str">
        <f aca="false">IF(J130="","",LEN(J130))</f>
        <v/>
      </c>
      <c r="L130" s="5" t="str">
        <f aca="false">IF(J130="","",IF(LEN(J130)&gt;60,"Too long",IF(LEN(J130)&lt;50,"Too short","OK")))</f>
        <v/>
      </c>
      <c r="M130" s="6"/>
      <c r="N130" s="5" t="str">
        <f aca="false">IF(M130="","",LEN(M130))</f>
        <v/>
      </c>
      <c r="O130" s="5" t="str">
        <f aca="false">IF(M130="","",IF(LEN(M130)&gt;160,"Too long",IF(LEN(M130)&lt;140,"Too short","OK")))</f>
        <v/>
      </c>
      <c r="P130" s="5" t="s">
        <v>56</v>
      </c>
    </row>
    <row r="131" customFormat="false" ht="26.85" hidden="false" customHeight="false" outlineLevel="0" collapsed="false">
      <c r="A131" s="5" t="s">
        <v>746</v>
      </c>
      <c r="B131" s="5" t="s">
        <v>747</v>
      </c>
      <c r="C131" s="5"/>
      <c r="D131" s="5" t="str">
        <f aca="false">IF(AND(I131=0,G131&lt;35),"Title and description",IF(I131=0,"Description",IF(G131&lt;35,"Title",IF(OR(G131&gt;60,I131&gt;160),"Too long: trim","Nothing — keep"))))</f>
        <v>Title and description</v>
      </c>
      <c r="E131" s="5" t="s">
        <v>51</v>
      </c>
      <c r="F131" s="5" t="s">
        <v>748</v>
      </c>
      <c r="G131" s="5" t="n">
        <f aca="false">LEN(F131)</f>
        <v>28</v>
      </c>
      <c r="H131" s="5" t="s">
        <v>88</v>
      </c>
      <c r="I131" s="5" t="n">
        <f aca="false">IF(H131="(none)",0,LEN(H131))</f>
        <v>0</v>
      </c>
      <c r="J131" s="6"/>
      <c r="K131" s="5" t="str">
        <f aca="false">IF(J131="","",LEN(J131))</f>
        <v/>
      </c>
      <c r="L131" s="5" t="str">
        <f aca="false">IF(J131="","",IF(LEN(J131)&gt;60,"Too long",IF(LEN(J131)&lt;50,"Too short","OK")))</f>
        <v/>
      </c>
      <c r="M131" s="6"/>
      <c r="N131" s="5" t="str">
        <f aca="false">IF(M131="","",LEN(M131))</f>
        <v/>
      </c>
      <c r="O131" s="5" t="str">
        <f aca="false">IF(M131="","",IF(LEN(M131)&gt;160,"Too long",IF(LEN(M131)&lt;140,"Too short","OK")))</f>
        <v/>
      </c>
      <c r="P131" s="5" t="s">
        <v>56</v>
      </c>
    </row>
    <row r="132" customFormat="false" ht="15" hidden="false" customHeight="false" outlineLevel="0" collapsed="false">
      <c r="A132" s="5" t="s">
        <v>749</v>
      </c>
      <c r="B132" s="5" t="s">
        <v>750</v>
      </c>
      <c r="C132" s="5"/>
      <c r="D132" s="5" t="str">
        <f aca="false">IF(AND(I132=0,G132&lt;35),"Title and description",IF(I132=0,"Description",IF(G132&lt;35,"Title",IF(OR(G132&gt;60,I132&gt;160),"Too long: trim","Nothing — keep"))))</f>
        <v>Title and description</v>
      </c>
      <c r="E132" s="5" t="s">
        <v>51</v>
      </c>
      <c r="F132" s="5" t="s">
        <v>751</v>
      </c>
      <c r="G132" s="5" t="n">
        <f aca="false">LEN(F132)</f>
        <v>20</v>
      </c>
      <c r="H132" s="5" t="s">
        <v>88</v>
      </c>
      <c r="I132" s="5" t="n">
        <f aca="false">IF(H132="(none)",0,LEN(H132))</f>
        <v>0</v>
      </c>
      <c r="J132" s="6"/>
      <c r="K132" s="5" t="str">
        <f aca="false">IF(J132="","",LEN(J132))</f>
        <v/>
      </c>
      <c r="L132" s="5" t="str">
        <f aca="false">IF(J132="","",IF(LEN(J132)&gt;60,"Too long",IF(LEN(J132)&lt;50,"Too short","OK")))</f>
        <v/>
      </c>
      <c r="M132" s="6"/>
      <c r="N132" s="5" t="str">
        <f aca="false">IF(M132="","",LEN(M132))</f>
        <v/>
      </c>
      <c r="O132" s="5" t="str">
        <f aca="false">IF(M132="","",IF(LEN(M132)&gt;160,"Too long",IF(LEN(M132)&lt;140,"Too short","OK")))</f>
        <v/>
      </c>
      <c r="P132" s="5" t="s">
        <v>56</v>
      </c>
    </row>
    <row r="133" customFormat="false" ht="15" hidden="false" customHeight="false" outlineLevel="0" collapsed="false">
      <c r="A133" s="5" t="s">
        <v>752</v>
      </c>
      <c r="B133" s="5" t="s">
        <v>753</v>
      </c>
      <c r="C133" s="5"/>
      <c r="D133" s="5" t="str">
        <f aca="false">IF(AND(I133=0,G133&lt;35),"Title and description",IF(I133=0,"Description",IF(G133&lt;35,"Title",IF(OR(G133&gt;60,I133&gt;160),"Too long: trim","Nothing — keep"))))</f>
        <v>Title and description</v>
      </c>
      <c r="E133" s="5" t="s">
        <v>51</v>
      </c>
      <c r="F133" s="5" t="s">
        <v>754</v>
      </c>
      <c r="G133" s="5" t="n">
        <f aca="false">LEN(F133)</f>
        <v>25</v>
      </c>
      <c r="H133" s="5" t="s">
        <v>88</v>
      </c>
      <c r="I133" s="5" t="n">
        <f aca="false">IF(H133="(none)",0,LEN(H133))</f>
        <v>0</v>
      </c>
      <c r="J133" s="6"/>
      <c r="K133" s="5" t="str">
        <f aca="false">IF(J133="","",LEN(J133))</f>
        <v/>
      </c>
      <c r="L133" s="5" t="str">
        <f aca="false">IF(J133="","",IF(LEN(J133)&gt;60,"Too long",IF(LEN(J133)&lt;50,"Too short","OK")))</f>
        <v/>
      </c>
      <c r="M133" s="6"/>
      <c r="N133" s="5" t="str">
        <f aca="false">IF(M133="","",LEN(M133))</f>
        <v/>
      </c>
      <c r="O133" s="5" t="str">
        <f aca="false">IF(M133="","",IF(LEN(M133)&gt;160,"Too long",IF(LEN(M133)&lt;140,"Too short","OK")))</f>
        <v/>
      </c>
      <c r="P133" s="5" t="s">
        <v>56</v>
      </c>
    </row>
    <row r="134" customFormat="false" ht="15" hidden="false" customHeight="false" outlineLevel="0" collapsed="false">
      <c r="A134" s="5" t="s">
        <v>755</v>
      </c>
      <c r="B134" s="5" t="s">
        <v>756</v>
      </c>
      <c r="C134" s="5"/>
      <c r="D134" s="5" t="str">
        <f aca="false">IF(AND(I134=0,G134&lt;35),"Title and description",IF(I134=0,"Description",IF(G134&lt;35,"Title",IF(OR(G134&gt;60,I134&gt;160),"Too long: trim","Nothing — keep"))))</f>
        <v>Title and description</v>
      </c>
      <c r="E134" s="5" t="s">
        <v>51</v>
      </c>
      <c r="F134" s="5" t="s">
        <v>757</v>
      </c>
      <c r="G134" s="5" t="n">
        <f aca="false">LEN(F134)</f>
        <v>23</v>
      </c>
      <c r="H134" s="5" t="s">
        <v>88</v>
      </c>
      <c r="I134" s="5" t="n">
        <f aca="false">IF(H134="(none)",0,LEN(H134))</f>
        <v>0</v>
      </c>
      <c r="J134" s="6"/>
      <c r="K134" s="5" t="str">
        <f aca="false">IF(J134="","",LEN(J134))</f>
        <v/>
      </c>
      <c r="L134" s="5" t="str">
        <f aca="false">IF(J134="","",IF(LEN(J134)&gt;60,"Too long",IF(LEN(J134)&lt;50,"Too short","OK")))</f>
        <v/>
      </c>
      <c r="M134" s="6"/>
      <c r="N134" s="5" t="str">
        <f aca="false">IF(M134="","",LEN(M134))</f>
        <v/>
      </c>
      <c r="O134" s="5" t="str">
        <f aca="false">IF(M134="","",IF(LEN(M134)&gt;160,"Too long",IF(LEN(M134)&lt;140,"Too short","OK")))</f>
        <v/>
      </c>
      <c r="P134" s="5" t="s">
        <v>56</v>
      </c>
    </row>
    <row r="135" customFormat="false" ht="15" hidden="false" customHeight="false" outlineLevel="0" collapsed="false">
      <c r="A135" s="5" t="s">
        <v>758</v>
      </c>
      <c r="B135" s="5" t="s">
        <v>759</v>
      </c>
      <c r="C135" s="5"/>
      <c r="D135" s="5" t="str">
        <f aca="false">IF(AND(I135=0,G135&lt;35),"Title and description",IF(I135=0,"Description",IF(G135&lt;35,"Title",IF(OR(G135&gt;60,I135&gt;160),"Too long: trim","Nothing — keep"))))</f>
        <v>Title and description</v>
      </c>
      <c r="E135" s="5" t="s">
        <v>51</v>
      </c>
      <c r="F135" s="5" t="s">
        <v>760</v>
      </c>
      <c r="G135" s="5" t="n">
        <f aca="false">LEN(F135)</f>
        <v>21</v>
      </c>
      <c r="H135" s="5" t="s">
        <v>88</v>
      </c>
      <c r="I135" s="5" t="n">
        <f aca="false">IF(H135="(none)",0,LEN(H135))</f>
        <v>0</v>
      </c>
      <c r="J135" s="6"/>
      <c r="K135" s="5" t="str">
        <f aca="false">IF(J135="","",LEN(J135))</f>
        <v/>
      </c>
      <c r="L135" s="5" t="str">
        <f aca="false">IF(J135="","",IF(LEN(J135)&gt;60,"Too long",IF(LEN(J135)&lt;50,"Too short","OK")))</f>
        <v/>
      </c>
      <c r="M135" s="6"/>
      <c r="N135" s="5" t="str">
        <f aca="false">IF(M135="","",LEN(M135))</f>
        <v/>
      </c>
      <c r="O135" s="5" t="str">
        <f aca="false">IF(M135="","",IF(LEN(M135)&gt;160,"Too long",IF(LEN(M135)&lt;140,"Too short","OK")))</f>
        <v/>
      </c>
      <c r="P135" s="5" t="s">
        <v>56</v>
      </c>
    </row>
    <row r="136" customFormat="false" ht="26.85" hidden="false" customHeight="false" outlineLevel="0" collapsed="false">
      <c r="A136" s="5" t="s">
        <v>761</v>
      </c>
      <c r="B136" s="5" t="s">
        <v>762</v>
      </c>
      <c r="C136" s="5"/>
      <c r="D136" s="5" t="str">
        <f aca="false">IF(AND(I136=0,G136&lt;35),"Title and description",IF(I136=0,"Description",IF(G136&lt;35,"Title",IF(OR(G136&gt;60,I136&gt;160),"Too long: trim","Nothing — keep"))))</f>
        <v>Title and description</v>
      </c>
      <c r="E136" s="5" t="s">
        <v>51</v>
      </c>
      <c r="F136" s="5" t="s">
        <v>763</v>
      </c>
      <c r="G136" s="5" t="n">
        <f aca="false">LEN(F136)</f>
        <v>30</v>
      </c>
      <c r="H136" s="5" t="s">
        <v>88</v>
      </c>
      <c r="I136" s="5" t="n">
        <f aca="false">IF(H136="(none)",0,LEN(H136))</f>
        <v>0</v>
      </c>
      <c r="J136" s="6"/>
      <c r="K136" s="5" t="str">
        <f aca="false">IF(J136="","",LEN(J136))</f>
        <v/>
      </c>
      <c r="L136" s="5" t="str">
        <f aca="false">IF(J136="","",IF(LEN(J136)&gt;60,"Too long",IF(LEN(J136)&lt;50,"Too short","OK")))</f>
        <v/>
      </c>
      <c r="M136" s="6"/>
      <c r="N136" s="5" t="str">
        <f aca="false">IF(M136="","",LEN(M136))</f>
        <v/>
      </c>
      <c r="O136" s="5" t="str">
        <f aca="false">IF(M136="","",IF(LEN(M136)&gt;160,"Too long",IF(LEN(M136)&lt;140,"Too short","OK")))</f>
        <v/>
      </c>
      <c r="P136" s="5" t="s">
        <v>56</v>
      </c>
    </row>
    <row r="137" customFormat="false" ht="26.85" hidden="false" customHeight="false" outlineLevel="0" collapsed="false">
      <c r="A137" s="5" t="s">
        <v>764</v>
      </c>
      <c r="B137" s="5" t="s">
        <v>765</v>
      </c>
      <c r="C137" s="5"/>
      <c r="D137" s="5" t="str">
        <f aca="false">IF(AND(I137=0,G137&lt;35),"Title and description",IF(I137=0,"Description",IF(G137&lt;35,"Title",IF(OR(G137&gt;60,I137&gt;160),"Too long: trim","Nothing — keep"))))</f>
        <v>Description</v>
      </c>
      <c r="E137" s="5" t="s">
        <v>51</v>
      </c>
      <c r="F137" s="5" t="s">
        <v>766</v>
      </c>
      <c r="G137" s="5" t="n">
        <f aca="false">LEN(F137)</f>
        <v>36</v>
      </c>
      <c r="H137" s="5" t="s">
        <v>88</v>
      </c>
      <c r="I137" s="5" t="n">
        <f aca="false">IF(H137="(none)",0,LEN(H137))</f>
        <v>0</v>
      </c>
      <c r="J137" s="6"/>
      <c r="K137" s="5" t="str">
        <f aca="false">IF(J137="","",LEN(J137))</f>
        <v/>
      </c>
      <c r="L137" s="5" t="str">
        <f aca="false">IF(J137="","",IF(LEN(J137)&gt;60,"Too long",IF(LEN(J137)&lt;50,"Too short","OK")))</f>
        <v/>
      </c>
      <c r="M137" s="6"/>
      <c r="N137" s="5" t="str">
        <f aca="false">IF(M137="","",LEN(M137))</f>
        <v/>
      </c>
      <c r="O137" s="5" t="str">
        <f aca="false">IF(M137="","",IF(LEN(M137)&gt;160,"Too long",IF(LEN(M137)&lt;140,"Too short","OK")))</f>
        <v/>
      </c>
      <c r="P137" s="5" t="s">
        <v>56</v>
      </c>
    </row>
    <row r="138" customFormat="false" ht="26.85" hidden="false" customHeight="false" outlineLevel="0" collapsed="false">
      <c r="A138" s="5" t="s">
        <v>767</v>
      </c>
      <c r="B138" s="5" t="s">
        <v>768</v>
      </c>
      <c r="C138" s="5"/>
      <c r="D138" s="5" t="str">
        <f aca="false">IF(AND(I138=0,G138&lt;35),"Title and description",IF(I138=0,"Description",IF(G138&lt;35,"Title",IF(OR(G138&gt;60,I138&gt;160),"Too long: trim","Nothing — keep"))))</f>
        <v>Title and description</v>
      </c>
      <c r="E138" s="5" t="s">
        <v>51</v>
      </c>
      <c r="F138" s="5" t="s">
        <v>769</v>
      </c>
      <c r="G138" s="5" t="n">
        <f aca="false">LEN(F138)</f>
        <v>27</v>
      </c>
      <c r="H138" s="5" t="s">
        <v>88</v>
      </c>
      <c r="I138" s="5" t="n">
        <f aca="false">IF(H138="(none)",0,LEN(H138))</f>
        <v>0</v>
      </c>
      <c r="J138" s="6"/>
      <c r="K138" s="5" t="str">
        <f aca="false">IF(J138="","",LEN(J138))</f>
        <v/>
      </c>
      <c r="L138" s="5" t="str">
        <f aca="false">IF(J138="","",IF(LEN(J138)&gt;60,"Too long",IF(LEN(J138)&lt;50,"Too short","OK")))</f>
        <v/>
      </c>
      <c r="M138" s="6"/>
      <c r="N138" s="5" t="str">
        <f aca="false">IF(M138="","",LEN(M138))</f>
        <v/>
      </c>
      <c r="O138" s="5" t="str">
        <f aca="false">IF(M138="","",IF(LEN(M138)&gt;160,"Too long",IF(LEN(M138)&lt;140,"Too short","OK")))</f>
        <v/>
      </c>
      <c r="P138" s="5" t="s">
        <v>56</v>
      </c>
    </row>
    <row r="139" customFormat="false" ht="15" hidden="false" customHeight="false" outlineLevel="0" collapsed="false">
      <c r="A139" s="5" t="s">
        <v>770</v>
      </c>
      <c r="B139" s="5" t="s">
        <v>771</v>
      </c>
      <c r="C139" s="5"/>
      <c r="D139" s="5" t="str">
        <f aca="false">IF(AND(I139=0,G139&lt;35),"Title and description",IF(I139=0,"Description",IF(G139&lt;35,"Title",IF(OR(G139&gt;60,I139&gt;160),"Too long: trim","Nothing — keep"))))</f>
        <v>Title and description</v>
      </c>
      <c r="E139" s="5" t="s">
        <v>51</v>
      </c>
      <c r="F139" s="5" t="s">
        <v>772</v>
      </c>
      <c r="G139" s="5" t="n">
        <f aca="false">LEN(F139)</f>
        <v>21</v>
      </c>
      <c r="H139" s="5" t="s">
        <v>88</v>
      </c>
      <c r="I139" s="5" t="n">
        <f aca="false">IF(H139="(none)",0,LEN(H139))</f>
        <v>0</v>
      </c>
      <c r="J139" s="6"/>
      <c r="K139" s="5" t="str">
        <f aca="false">IF(J139="","",LEN(J139))</f>
        <v/>
      </c>
      <c r="L139" s="5" t="str">
        <f aca="false">IF(J139="","",IF(LEN(J139)&gt;60,"Too long",IF(LEN(J139)&lt;50,"Too short","OK")))</f>
        <v/>
      </c>
      <c r="M139" s="6"/>
      <c r="N139" s="5" t="str">
        <f aca="false">IF(M139="","",LEN(M139))</f>
        <v/>
      </c>
      <c r="O139" s="5" t="str">
        <f aca="false">IF(M139="","",IF(LEN(M139)&gt;160,"Too long",IF(LEN(M139)&lt;140,"Too short","OK")))</f>
        <v/>
      </c>
      <c r="P139" s="5" t="s">
        <v>56</v>
      </c>
    </row>
    <row r="140" customFormat="false" ht="15" hidden="false" customHeight="false" outlineLevel="0" collapsed="false">
      <c r="A140" s="5" t="s">
        <v>773</v>
      </c>
      <c r="B140" s="5" t="s">
        <v>774</v>
      </c>
      <c r="C140" s="5"/>
      <c r="D140" s="5" t="str">
        <f aca="false">IF(AND(I140=0,G140&lt;35),"Title and description",IF(I140=0,"Description",IF(G140&lt;35,"Title",IF(OR(G140&gt;60,I140&gt;160),"Too long: trim","Nothing — keep"))))</f>
        <v>Title and description</v>
      </c>
      <c r="E140" s="5" t="s">
        <v>51</v>
      </c>
      <c r="F140" s="5" t="s">
        <v>775</v>
      </c>
      <c r="G140" s="5" t="n">
        <f aca="false">LEN(F140)</f>
        <v>23</v>
      </c>
      <c r="H140" s="5" t="s">
        <v>88</v>
      </c>
      <c r="I140" s="5" t="n">
        <f aca="false">IF(H140="(none)",0,LEN(H140))</f>
        <v>0</v>
      </c>
      <c r="J140" s="6"/>
      <c r="K140" s="5" t="str">
        <f aca="false">IF(J140="","",LEN(J140))</f>
        <v/>
      </c>
      <c r="L140" s="5" t="str">
        <f aca="false">IF(J140="","",IF(LEN(J140)&gt;60,"Too long",IF(LEN(J140)&lt;50,"Too short","OK")))</f>
        <v/>
      </c>
      <c r="M140" s="6"/>
      <c r="N140" s="5" t="str">
        <f aca="false">IF(M140="","",LEN(M140))</f>
        <v/>
      </c>
      <c r="O140" s="5" t="str">
        <f aca="false">IF(M140="","",IF(LEN(M140)&gt;160,"Too long",IF(LEN(M140)&lt;140,"Too short","OK")))</f>
        <v/>
      </c>
      <c r="P140" s="5" t="s">
        <v>56</v>
      </c>
    </row>
    <row r="141" customFormat="false" ht="26.85" hidden="false" customHeight="false" outlineLevel="0" collapsed="false">
      <c r="A141" s="5" t="s">
        <v>776</v>
      </c>
      <c r="B141" s="5" t="s">
        <v>777</v>
      </c>
      <c r="C141" s="5"/>
      <c r="D141" s="5" t="str">
        <f aca="false">IF(AND(I141=0,G141&lt;35),"Title and description",IF(I141=0,"Description",IF(G141&lt;35,"Title",IF(OR(G141&gt;60,I141&gt;160),"Too long: trim","Nothing — keep"))))</f>
        <v>Title and description</v>
      </c>
      <c r="E141" s="5" t="s">
        <v>51</v>
      </c>
      <c r="F141" s="5" t="s">
        <v>778</v>
      </c>
      <c r="G141" s="5" t="n">
        <f aca="false">LEN(F141)</f>
        <v>28</v>
      </c>
      <c r="H141" s="5" t="s">
        <v>88</v>
      </c>
      <c r="I141" s="5" t="n">
        <f aca="false">IF(H141="(none)",0,LEN(H141))</f>
        <v>0</v>
      </c>
      <c r="J141" s="6"/>
      <c r="K141" s="5" t="str">
        <f aca="false">IF(J141="","",LEN(J141))</f>
        <v/>
      </c>
      <c r="L141" s="5" t="str">
        <f aca="false">IF(J141="","",IF(LEN(J141)&gt;60,"Too long",IF(LEN(J141)&lt;50,"Too short","OK")))</f>
        <v/>
      </c>
      <c r="M141" s="6"/>
      <c r="N141" s="5" t="str">
        <f aca="false">IF(M141="","",LEN(M141))</f>
        <v/>
      </c>
      <c r="O141" s="5" t="str">
        <f aca="false">IF(M141="","",IF(LEN(M141)&gt;160,"Too long",IF(LEN(M141)&lt;140,"Too short","OK")))</f>
        <v/>
      </c>
      <c r="P141" s="5" t="s">
        <v>56</v>
      </c>
    </row>
    <row r="142" customFormat="false" ht="15" hidden="false" customHeight="false" outlineLevel="0" collapsed="false">
      <c r="A142" s="5" t="s">
        <v>779</v>
      </c>
      <c r="B142" s="5" t="s">
        <v>780</v>
      </c>
      <c r="C142" s="5"/>
      <c r="D142" s="5" t="str">
        <f aca="false">IF(AND(I142=0,G142&lt;35),"Title and description",IF(I142=0,"Description",IF(G142&lt;35,"Title",IF(OR(G142&gt;60,I142&gt;160),"Too long: trim","Nothing — keep"))))</f>
        <v>Title and description</v>
      </c>
      <c r="E142" s="5" t="s">
        <v>51</v>
      </c>
      <c r="F142" s="5" t="s">
        <v>781</v>
      </c>
      <c r="G142" s="5" t="n">
        <f aca="false">LEN(F142)</f>
        <v>24</v>
      </c>
      <c r="H142" s="5" t="s">
        <v>88</v>
      </c>
      <c r="I142" s="5" t="n">
        <f aca="false">IF(H142="(none)",0,LEN(H142))</f>
        <v>0</v>
      </c>
      <c r="J142" s="6"/>
      <c r="K142" s="5" t="str">
        <f aca="false">IF(J142="","",LEN(J142))</f>
        <v/>
      </c>
      <c r="L142" s="5" t="str">
        <f aca="false">IF(J142="","",IF(LEN(J142)&gt;60,"Too long",IF(LEN(J142)&lt;50,"Too short","OK")))</f>
        <v/>
      </c>
      <c r="M142" s="6"/>
      <c r="N142" s="5" t="str">
        <f aca="false">IF(M142="","",LEN(M142))</f>
        <v/>
      </c>
      <c r="O142" s="5" t="str">
        <f aca="false">IF(M142="","",IF(LEN(M142)&gt;160,"Too long",IF(LEN(M142)&lt;140,"Too short","OK")))</f>
        <v/>
      </c>
      <c r="P142" s="5" t="s">
        <v>56</v>
      </c>
    </row>
    <row r="143" customFormat="false" ht="15" hidden="false" customHeight="false" outlineLevel="0" collapsed="false">
      <c r="A143" s="5" t="s">
        <v>782</v>
      </c>
      <c r="B143" s="5" t="s">
        <v>783</v>
      </c>
      <c r="C143" s="5"/>
      <c r="D143" s="5" t="str">
        <f aca="false">IF(AND(I143=0,G143&lt;35),"Title and description",IF(I143=0,"Description",IF(G143&lt;35,"Title",IF(OR(G143&gt;60,I143&gt;160),"Too long: trim","Nothing — keep"))))</f>
        <v>Title and description</v>
      </c>
      <c r="E143" s="5" t="s">
        <v>51</v>
      </c>
      <c r="F143" s="5" t="s">
        <v>784</v>
      </c>
      <c r="G143" s="5" t="n">
        <f aca="false">LEN(F143)</f>
        <v>20</v>
      </c>
      <c r="H143" s="5" t="s">
        <v>88</v>
      </c>
      <c r="I143" s="5" t="n">
        <f aca="false">IF(H143="(none)",0,LEN(H143))</f>
        <v>0</v>
      </c>
      <c r="J143" s="6"/>
      <c r="K143" s="5" t="str">
        <f aca="false">IF(J143="","",LEN(J143))</f>
        <v/>
      </c>
      <c r="L143" s="5" t="str">
        <f aca="false">IF(J143="","",IF(LEN(J143)&gt;60,"Too long",IF(LEN(J143)&lt;50,"Too short","OK")))</f>
        <v/>
      </c>
      <c r="M143" s="6"/>
      <c r="N143" s="5" t="str">
        <f aca="false">IF(M143="","",LEN(M143))</f>
        <v/>
      </c>
      <c r="O143" s="5" t="str">
        <f aca="false">IF(M143="","",IF(LEN(M143)&gt;160,"Too long",IF(LEN(M143)&lt;140,"Too short","OK")))</f>
        <v/>
      </c>
      <c r="P143" s="5" t="s">
        <v>56</v>
      </c>
    </row>
    <row r="144" customFormat="false" ht="26.85" hidden="false" customHeight="false" outlineLevel="0" collapsed="false">
      <c r="A144" s="5" t="s">
        <v>785</v>
      </c>
      <c r="B144" s="5" t="s">
        <v>786</v>
      </c>
      <c r="C144" s="5"/>
      <c r="D144" s="5" t="str">
        <f aca="false">IF(AND(I144=0,G144&lt;35),"Title and description",IF(I144=0,"Description",IF(G144&lt;35,"Title",IF(OR(G144&gt;60,I144&gt;160),"Too long: trim","Nothing — keep"))))</f>
        <v>Title and description</v>
      </c>
      <c r="E144" s="5" t="s">
        <v>51</v>
      </c>
      <c r="F144" s="5" t="s">
        <v>787</v>
      </c>
      <c r="G144" s="5" t="n">
        <f aca="false">LEN(F144)</f>
        <v>24</v>
      </c>
      <c r="H144" s="5" t="s">
        <v>88</v>
      </c>
      <c r="I144" s="5" t="n">
        <f aca="false">IF(H144="(none)",0,LEN(H144))</f>
        <v>0</v>
      </c>
      <c r="J144" s="6"/>
      <c r="K144" s="5" t="str">
        <f aca="false">IF(J144="","",LEN(J144))</f>
        <v/>
      </c>
      <c r="L144" s="5" t="str">
        <f aca="false">IF(J144="","",IF(LEN(J144)&gt;60,"Too long",IF(LEN(J144)&lt;50,"Too short","OK")))</f>
        <v/>
      </c>
      <c r="M144" s="6"/>
      <c r="N144" s="5" t="str">
        <f aca="false">IF(M144="","",LEN(M144))</f>
        <v/>
      </c>
      <c r="O144" s="5" t="str">
        <f aca="false">IF(M144="","",IF(LEN(M144)&gt;160,"Too long",IF(LEN(M144)&lt;140,"Too short","OK")))</f>
        <v/>
      </c>
      <c r="P144" s="5" t="s">
        <v>56</v>
      </c>
    </row>
    <row r="145" customFormat="false" ht="26.85" hidden="false" customHeight="false" outlineLevel="0" collapsed="false">
      <c r="A145" s="5" t="s">
        <v>788</v>
      </c>
      <c r="B145" s="5" t="s">
        <v>789</v>
      </c>
      <c r="C145" s="5"/>
      <c r="D145" s="5" t="str">
        <f aca="false">IF(AND(I145=0,G145&lt;35),"Title and description",IF(I145=0,"Description",IF(G145&lt;35,"Title",IF(OR(G145&gt;60,I145&gt;160),"Too long: trim","Nothing — keep"))))</f>
        <v>Title and description</v>
      </c>
      <c r="E145" s="5" t="s">
        <v>333</v>
      </c>
      <c r="F145" s="5" t="s">
        <v>790</v>
      </c>
      <c r="G145" s="5" t="n">
        <f aca="false">LEN(F145)</f>
        <v>25</v>
      </c>
      <c r="H145" s="5" t="s">
        <v>88</v>
      </c>
      <c r="I145" s="5" t="n">
        <f aca="false">IF(H145="(none)",0,LEN(H145))</f>
        <v>0</v>
      </c>
      <c r="J145" s="6"/>
      <c r="K145" s="5" t="str">
        <f aca="false">IF(J145="","",LEN(J145))</f>
        <v/>
      </c>
      <c r="L145" s="5" t="str">
        <f aca="false">IF(J145="","",IF(LEN(J145)&gt;60,"Too long",IF(LEN(J145)&lt;50,"Too short","OK")))</f>
        <v/>
      </c>
      <c r="M145" s="6"/>
      <c r="N145" s="5" t="str">
        <f aca="false">IF(M145="","",LEN(M145))</f>
        <v/>
      </c>
      <c r="O145" s="5" t="str">
        <f aca="false">IF(M145="","",IF(LEN(M145)&gt;160,"Too long",IF(LEN(M145)&lt;140,"Too short","OK")))</f>
        <v/>
      </c>
      <c r="P145" s="5" t="s">
        <v>56</v>
      </c>
    </row>
    <row r="146" customFormat="false" ht="15" hidden="false" customHeight="false" outlineLevel="0" collapsed="false">
      <c r="A146" s="5" t="s">
        <v>791</v>
      </c>
      <c r="B146" s="5" t="s">
        <v>792</v>
      </c>
      <c r="C146" s="5"/>
      <c r="D146" s="5" t="str">
        <f aca="false">IF(AND(I146=0,G146&lt;35),"Title and description",IF(I146=0,"Description",IF(G146&lt;35,"Title",IF(OR(G146&gt;60,I146&gt;160),"Too long: trim","Nothing — keep"))))</f>
        <v>Title and description</v>
      </c>
      <c r="E146" s="5" t="s">
        <v>51</v>
      </c>
      <c r="F146" s="5" t="s">
        <v>793</v>
      </c>
      <c r="G146" s="5" t="n">
        <f aca="false">LEN(F146)</f>
        <v>21</v>
      </c>
      <c r="H146" s="5" t="s">
        <v>88</v>
      </c>
      <c r="I146" s="5" t="n">
        <f aca="false">IF(H146="(none)",0,LEN(H146))</f>
        <v>0</v>
      </c>
      <c r="J146" s="6"/>
      <c r="K146" s="5" t="str">
        <f aca="false">IF(J146="","",LEN(J146))</f>
        <v/>
      </c>
      <c r="L146" s="5" t="str">
        <f aca="false">IF(J146="","",IF(LEN(J146)&gt;60,"Too long",IF(LEN(J146)&lt;50,"Too short","OK")))</f>
        <v/>
      </c>
      <c r="M146" s="6"/>
      <c r="N146" s="5" t="str">
        <f aca="false">IF(M146="","",LEN(M146))</f>
        <v/>
      </c>
      <c r="O146" s="5" t="str">
        <f aca="false">IF(M146="","",IF(LEN(M146)&gt;160,"Too long",IF(LEN(M146)&lt;140,"Too short","OK")))</f>
        <v/>
      </c>
      <c r="P146" s="5" t="s">
        <v>56</v>
      </c>
    </row>
    <row r="147" customFormat="false" ht="15" hidden="false" customHeight="false" outlineLevel="0" collapsed="false">
      <c r="A147" s="5" t="s">
        <v>794</v>
      </c>
      <c r="B147" s="5" t="s">
        <v>795</v>
      </c>
      <c r="C147" s="5"/>
      <c r="D147" s="5" t="str">
        <f aca="false">IF(AND(I147=0,G147&lt;35),"Title and description",IF(I147=0,"Description",IF(G147&lt;35,"Title",IF(OR(G147&gt;60,I147&gt;160),"Too long: trim","Nothing — keep"))))</f>
        <v>Title and description</v>
      </c>
      <c r="E147" s="5" t="s">
        <v>51</v>
      </c>
      <c r="F147" s="5" t="s">
        <v>796</v>
      </c>
      <c r="G147" s="5" t="n">
        <f aca="false">LEN(F147)</f>
        <v>20</v>
      </c>
      <c r="H147" s="5" t="s">
        <v>88</v>
      </c>
      <c r="I147" s="5" t="n">
        <f aca="false">IF(H147="(none)",0,LEN(H147))</f>
        <v>0</v>
      </c>
      <c r="J147" s="6"/>
      <c r="K147" s="5" t="str">
        <f aca="false">IF(J147="","",LEN(J147))</f>
        <v/>
      </c>
      <c r="L147" s="5" t="str">
        <f aca="false">IF(J147="","",IF(LEN(J147)&gt;60,"Too long",IF(LEN(J147)&lt;50,"Too short","OK")))</f>
        <v/>
      </c>
      <c r="M147" s="6"/>
      <c r="N147" s="5" t="str">
        <f aca="false">IF(M147="","",LEN(M147))</f>
        <v/>
      </c>
      <c r="O147" s="5" t="str">
        <f aca="false">IF(M147="","",IF(LEN(M147)&gt;160,"Too long",IF(LEN(M147)&lt;140,"Too short","OK")))</f>
        <v/>
      </c>
      <c r="P147" s="5" t="s">
        <v>56</v>
      </c>
    </row>
    <row r="148" customFormat="false" ht="26.85" hidden="false" customHeight="false" outlineLevel="0" collapsed="false">
      <c r="A148" s="5" t="s">
        <v>797</v>
      </c>
      <c r="B148" s="5" t="s">
        <v>798</v>
      </c>
      <c r="C148" s="5"/>
      <c r="D148" s="5" t="str">
        <f aca="false">IF(AND(I148=0,G148&lt;35),"Title and description",IF(I148=0,"Description",IF(G148&lt;35,"Title",IF(OR(G148&gt;60,I148&gt;160),"Too long: trim","Nothing — keep"))))</f>
        <v>Title and description</v>
      </c>
      <c r="E148" s="5" t="s">
        <v>51</v>
      </c>
      <c r="F148" s="5" t="s">
        <v>799</v>
      </c>
      <c r="G148" s="5" t="n">
        <f aca="false">LEN(F148)</f>
        <v>32</v>
      </c>
      <c r="H148" s="5" t="s">
        <v>88</v>
      </c>
      <c r="I148" s="5" t="n">
        <f aca="false">IF(H148="(none)",0,LEN(H148))</f>
        <v>0</v>
      </c>
      <c r="J148" s="6"/>
      <c r="K148" s="5" t="str">
        <f aca="false">IF(J148="","",LEN(J148))</f>
        <v/>
      </c>
      <c r="L148" s="5" t="str">
        <f aca="false">IF(J148="","",IF(LEN(J148)&gt;60,"Too long",IF(LEN(J148)&lt;50,"Too short","OK")))</f>
        <v/>
      </c>
      <c r="M148" s="6"/>
      <c r="N148" s="5" t="str">
        <f aca="false">IF(M148="","",LEN(M148))</f>
        <v/>
      </c>
      <c r="O148" s="5" t="str">
        <f aca="false">IF(M148="","",IF(LEN(M148)&gt;160,"Too long",IF(LEN(M148)&lt;140,"Too short","OK")))</f>
        <v/>
      </c>
      <c r="P148" s="5" t="s">
        <v>56</v>
      </c>
    </row>
    <row r="149" customFormat="false" ht="15" hidden="false" customHeight="false" outlineLevel="0" collapsed="false">
      <c r="A149" s="5" t="s">
        <v>800</v>
      </c>
      <c r="B149" s="5" t="s">
        <v>801</v>
      </c>
      <c r="C149" s="5"/>
      <c r="D149" s="5" t="str">
        <f aca="false">IF(AND(I149=0,G149&lt;35),"Title and description",IF(I149=0,"Description",IF(G149&lt;35,"Title",IF(OR(G149&gt;60,I149&gt;160),"Too long: trim","Nothing — keep"))))</f>
        <v>Title and description</v>
      </c>
      <c r="E149" s="5" t="s">
        <v>51</v>
      </c>
      <c r="F149" s="5" t="s">
        <v>802</v>
      </c>
      <c r="G149" s="5" t="n">
        <f aca="false">LEN(F149)</f>
        <v>23</v>
      </c>
      <c r="H149" s="5" t="s">
        <v>88</v>
      </c>
      <c r="I149" s="5" t="n">
        <f aca="false">IF(H149="(none)",0,LEN(H149))</f>
        <v>0</v>
      </c>
      <c r="J149" s="6"/>
      <c r="K149" s="5" t="str">
        <f aca="false">IF(J149="","",LEN(J149))</f>
        <v/>
      </c>
      <c r="L149" s="5" t="str">
        <f aca="false">IF(J149="","",IF(LEN(J149)&gt;60,"Too long",IF(LEN(J149)&lt;50,"Too short","OK")))</f>
        <v/>
      </c>
      <c r="M149" s="6"/>
      <c r="N149" s="5" t="str">
        <f aca="false">IF(M149="","",LEN(M149))</f>
        <v/>
      </c>
      <c r="O149" s="5" t="str">
        <f aca="false">IF(M149="","",IF(LEN(M149)&gt;160,"Too long",IF(LEN(M149)&lt;140,"Too short","OK")))</f>
        <v/>
      </c>
      <c r="P149" s="5" t="s">
        <v>56</v>
      </c>
    </row>
    <row r="150" customFormat="false" ht="15" hidden="false" customHeight="false" outlineLevel="0" collapsed="false">
      <c r="A150" s="5" t="s">
        <v>803</v>
      </c>
      <c r="B150" s="5" t="s">
        <v>804</v>
      </c>
      <c r="C150" s="5"/>
      <c r="D150" s="5" t="str">
        <f aca="false">IF(AND(I150=0,G150&lt;35),"Title and description",IF(I150=0,"Description",IF(G150&lt;35,"Title",IF(OR(G150&gt;60,I150&gt;160),"Too long: trim","Nothing — keep"))))</f>
        <v>Title and description</v>
      </c>
      <c r="E150" s="5" t="s">
        <v>51</v>
      </c>
      <c r="F150" s="5" t="s">
        <v>805</v>
      </c>
      <c r="G150" s="5" t="n">
        <f aca="false">LEN(F150)</f>
        <v>22</v>
      </c>
      <c r="H150" s="5" t="s">
        <v>88</v>
      </c>
      <c r="I150" s="5" t="n">
        <f aca="false">IF(H150="(none)",0,LEN(H150))</f>
        <v>0</v>
      </c>
      <c r="J150" s="6"/>
      <c r="K150" s="5" t="str">
        <f aca="false">IF(J150="","",LEN(J150))</f>
        <v/>
      </c>
      <c r="L150" s="5" t="str">
        <f aca="false">IF(J150="","",IF(LEN(J150)&gt;60,"Too long",IF(LEN(J150)&lt;50,"Too short","OK")))</f>
        <v/>
      </c>
      <c r="M150" s="6"/>
      <c r="N150" s="5" t="str">
        <f aca="false">IF(M150="","",LEN(M150))</f>
        <v/>
      </c>
      <c r="O150" s="5" t="str">
        <f aca="false">IF(M150="","",IF(LEN(M150)&gt;160,"Too long",IF(LEN(M150)&lt;140,"Too short","OK")))</f>
        <v/>
      </c>
      <c r="P150" s="5" t="s">
        <v>56</v>
      </c>
    </row>
    <row r="151" customFormat="false" ht="26.85" hidden="false" customHeight="false" outlineLevel="0" collapsed="false">
      <c r="A151" s="5" t="s">
        <v>806</v>
      </c>
      <c r="B151" s="5" t="s">
        <v>807</v>
      </c>
      <c r="C151" s="5"/>
      <c r="D151" s="5" t="str">
        <f aca="false">IF(AND(I151=0,G151&lt;35),"Title and description",IF(I151=0,"Description",IF(G151&lt;35,"Title",IF(OR(G151&gt;60,I151&gt;160),"Too long: trim","Nothing — keep"))))</f>
        <v>Title and description</v>
      </c>
      <c r="E151" s="5" t="s">
        <v>51</v>
      </c>
      <c r="F151" s="5" t="s">
        <v>808</v>
      </c>
      <c r="G151" s="5" t="n">
        <f aca="false">LEN(F151)</f>
        <v>27</v>
      </c>
      <c r="H151" s="5" t="s">
        <v>88</v>
      </c>
      <c r="I151" s="5" t="n">
        <f aca="false">IF(H151="(none)",0,LEN(H151))</f>
        <v>0</v>
      </c>
      <c r="J151" s="6"/>
      <c r="K151" s="5" t="str">
        <f aca="false">IF(J151="","",LEN(J151))</f>
        <v/>
      </c>
      <c r="L151" s="5" t="str">
        <f aca="false">IF(J151="","",IF(LEN(J151)&gt;60,"Too long",IF(LEN(J151)&lt;50,"Too short","OK")))</f>
        <v/>
      </c>
      <c r="M151" s="6"/>
      <c r="N151" s="5" t="str">
        <f aca="false">IF(M151="","",LEN(M151))</f>
        <v/>
      </c>
      <c r="O151" s="5" t="str">
        <f aca="false">IF(M151="","",IF(LEN(M151)&gt;160,"Too long",IF(LEN(M151)&lt;140,"Too short","OK")))</f>
        <v/>
      </c>
      <c r="P151" s="5" t="s">
        <v>56</v>
      </c>
    </row>
    <row r="152" customFormat="false" ht="26.85" hidden="false" customHeight="false" outlineLevel="0" collapsed="false">
      <c r="A152" s="5" t="s">
        <v>809</v>
      </c>
      <c r="B152" s="5" t="s">
        <v>810</v>
      </c>
      <c r="C152" s="5"/>
      <c r="D152" s="5" t="str">
        <f aca="false">IF(AND(I152=0,G152&lt;35),"Title and description",IF(I152=0,"Description",IF(G152&lt;35,"Title",IF(OR(G152&gt;60,I152&gt;160),"Too long: trim","Nothing — keep"))))</f>
        <v>Title and description</v>
      </c>
      <c r="E152" s="5" t="s">
        <v>51</v>
      </c>
      <c r="F152" s="5" t="s">
        <v>811</v>
      </c>
      <c r="G152" s="5" t="n">
        <f aca="false">LEN(F152)</f>
        <v>29</v>
      </c>
      <c r="H152" s="5" t="s">
        <v>88</v>
      </c>
      <c r="I152" s="5" t="n">
        <f aca="false">IF(H152="(none)",0,LEN(H152))</f>
        <v>0</v>
      </c>
      <c r="J152" s="6"/>
      <c r="K152" s="5" t="str">
        <f aca="false">IF(J152="","",LEN(J152))</f>
        <v/>
      </c>
      <c r="L152" s="5" t="str">
        <f aca="false">IF(J152="","",IF(LEN(J152)&gt;60,"Too long",IF(LEN(J152)&lt;50,"Too short","OK")))</f>
        <v/>
      </c>
      <c r="M152" s="6"/>
      <c r="N152" s="5" t="str">
        <f aca="false">IF(M152="","",LEN(M152))</f>
        <v/>
      </c>
      <c r="O152" s="5" t="str">
        <f aca="false">IF(M152="","",IF(LEN(M152)&gt;160,"Too long",IF(LEN(M152)&lt;140,"Too short","OK")))</f>
        <v/>
      </c>
      <c r="P152" s="5" t="s">
        <v>56</v>
      </c>
    </row>
    <row r="153" customFormat="false" ht="15" hidden="false" customHeight="false" outlineLevel="0" collapsed="false">
      <c r="A153" s="5" t="s">
        <v>812</v>
      </c>
      <c r="B153" s="5" t="s">
        <v>813</v>
      </c>
      <c r="C153" s="5"/>
      <c r="D153" s="5" t="str">
        <f aca="false">IF(AND(I153=0,G153&lt;35),"Title and description",IF(I153=0,"Description",IF(G153&lt;35,"Title",IF(OR(G153&gt;60,I153&gt;160),"Too long: trim","Nothing — keep"))))</f>
        <v>Title and description</v>
      </c>
      <c r="E153" s="5" t="s">
        <v>51</v>
      </c>
      <c r="F153" s="5" t="s">
        <v>814</v>
      </c>
      <c r="G153" s="5" t="n">
        <f aca="false">LEN(F153)</f>
        <v>19</v>
      </c>
      <c r="H153" s="5" t="s">
        <v>88</v>
      </c>
      <c r="I153" s="5" t="n">
        <f aca="false">IF(H153="(none)",0,LEN(H153))</f>
        <v>0</v>
      </c>
      <c r="J153" s="6"/>
      <c r="K153" s="5" t="str">
        <f aca="false">IF(J153="","",LEN(J153))</f>
        <v/>
      </c>
      <c r="L153" s="5" t="str">
        <f aca="false">IF(J153="","",IF(LEN(J153)&gt;60,"Too long",IF(LEN(J153)&lt;50,"Too short","OK")))</f>
        <v/>
      </c>
      <c r="M153" s="6"/>
      <c r="N153" s="5" t="str">
        <f aca="false">IF(M153="","",LEN(M153))</f>
        <v/>
      </c>
      <c r="O153" s="5" t="str">
        <f aca="false">IF(M153="","",IF(LEN(M153)&gt;160,"Too long",IF(LEN(M153)&lt;140,"Too short","OK")))</f>
        <v/>
      </c>
      <c r="P153" s="5" t="s">
        <v>56</v>
      </c>
    </row>
    <row r="154" customFormat="false" ht="15" hidden="false" customHeight="false" outlineLevel="0" collapsed="false">
      <c r="A154" s="5" t="s">
        <v>815</v>
      </c>
      <c r="B154" s="5" t="s">
        <v>816</v>
      </c>
      <c r="C154" s="5"/>
      <c r="D154" s="5" t="str">
        <f aca="false">IF(AND(I154=0,G154&lt;35),"Title and description",IF(I154=0,"Description",IF(G154&lt;35,"Title",IF(OR(G154&gt;60,I154&gt;160),"Too long: trim","Nothing — keep"))))</f>
        <v>Title and description</v>
      </c>
      <c r="E154" s="5" t="s">
        <v>51</v>
      </c>
      <c r="F154" s="5" t="s">
        <v>817</v>
      </c>
      <c r="G154" s="5" t="n">
        <f aca="false">LEN(F154)</f>
        <v>20</v>
      </c>
      <c r="H154" s="5" t="s">
        <v>88</v>
      </c>
      <c r="I154" s="5" t="n">
        <f aca="false">IF(H154="(none)",0,LEN(H154))</f>
        <v>0</v>
      </c>
      <c r="J154" s="6"/>
      <c r="K154" s="5" t="str">
        <f aca="false">IF(J154="","",LEN(J154))</f>
        <v/>
      </c>
      <c r="L154" s="5" t="str">
        <f aca="false">IF(J154="","",IF(LEN(J154)&gt;60,"Too long",IF(LEN(J154)&lt;50,"Too short","OK")))</f>
        <v/>
      </c>
      <c r="M154" s="6"/>
      <c r="N154" s="5" t="str">
        <f aca="false">IF(M154="","",LEN(M154))</f>
        <v/>
      </c>
      <c r="O154" s="5" t="str">
        <f aca="false">IF(M154="","",IF(LEN(M154)&gt;160,"Too long",IF(LEN(M154)&lt;140,"Too short","OK")))</f>
        <v/>
      </c>
      <c r="P154" s="5" t="s">
        <v>56</v>
      </c>
    </row>
    <row r="155" customFormat="false" ht="26.85" hidden="false" customHeight="false" outlineLevel="0" collapsed="false">
      <c r="A155" s="5" t="s">
        <v>740</v>
      </c>
      <c r="B155" s="5" t="s">
        <v>818</v>
      </c>
      <c r="C155" s="5"/>
      <c r="D155" s="5" t="str">
        <f aca="false">IF(AND(I155=0,G155&lt;35),"Title and description",IF(I155=0,"Description",IF(G155&lt;35,"Title",IF(OR(G155&gt;60,I155&gt;160),"Too long: trim","Nothing — keep"))))</f>
        <v>Title and description</v>
      </c>
      <c r="E155" s="5" t="s">
        <v>51</v>
      </c>
      <c r="F155" s="5" t="s">
        <v>742</v>
      </c>
      <c r="G155" s="5" t="n">
        <f aca="false">LEN(F155)</f>
        <v>24</v>
      </c>
      <c r="H155" s="5" t="s">
        <v>88</v>
      </c>
      <c r="I155" s="5" t="n">
        <f aca="false">IF(H155="(none)",0,LEN(H155))</f>
        <v>0</v>
      </c>
      <c r="J155" s="6"/>
      <c r="K155" s="5" t="str">
        <f aca="false">IF(J155="","",LEN(J155))</f>
        <v/>
      </c>
      <c r="L155" s="5" t="str">
        <f aca="false">IF(J155="","",IF(LEN(J155)&gt;60,"Too long",IF(LEN(J155)&lt;50,"Too short","OK")))</f>
        <v/>
      </c>
      <c r="M155" s="6"/>
      <c r="N155" s="5" t="str">
        <f aca="false">IF(M155="","",LEN(M155))</f>
        <v/>
      </c>
      <c r="O155" s="5" t="str">
        <f aca="false">IF(M155="","",IF(LEN(M155)&gt;160,"Too long",IF(LEN(M155)&lt;140,"Too short","OK")))</f>
        <v/>
      </c>
      <c r="P155" s="5" t="s">
        <v>56</v>
      </c>
    </row>
  </sheetData>
  <autoFilter ref="A1:P155"/>
  <conditionalFormatting sqref="L2:L155">
    <cfRule type="expression" priority="2" aboveAverage="0" equalAverage="0" bottom="0" percent="0" rank="0" text="" dxfId="6">
      <formula>L2="OK"</formula>
    </cfRule>
    <cfRule type="expression" priority="3" aboveAverage="0" equalAverage="0" bottom="0" percent="0" rank="0" text="" dxfId="7">
      <formula>OR(L2="Too long",L2="Too short")</formula>
    </cfRule>
  </conditionalFormatting>
  <conditionalFormatting sqref="O2:O155">
    <cfRule type="expression" priority="4" aboveAverage="0" equalAverage="0" bottom="0" percent="0" rank="0" text="" dxfId="6">
      <formula>O2="OK"</formula>
    </cfRule>
    <cfRule type="expression" priority="5" aboveAverage="0" equalAverage="0" bottom="0" percent="0" rank="0" text="" dxfId="7">
      <formula>OR(O2="Too long",O2="Too short")</formula>
    </cfRule>
  </conditionalFormatting>
  <dataValidations count="2">
    <dataValidation allowBlank="true" errorStyle="stop" operator="between" showDropDown="false" showErrorMessage="false" showInputMessage="false" sqref="P2:P155" type="list">
      <formula1>"Not started,Draft,Ready,Needs fix,Live"</formula1>
      <formula2>0</formula2>
    </dataValidation>
    <dataValidation allowBlank="true" errorStyle="stop" operator="between" showDropDown="false" showErrorMessage="false" showInputMessage="false" sqref="C2:C15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0"/>
    <col collapsed="false" customWidth="true" hidden="false" outlineLevel="0" max="3" min="3" style="0" width="100"/>
    <col collapsed="false" customWidth="true" hidden="false" outlineLevel="0" max="4" min="4" style="0" width="8"/>
    <col collapsed="false" customWidth="true" hidden="false" outlineLevel="0" max="5" min="5" style="0" width="10"/>
    <col collapsed="false" customWidth="true" hidden="false" outlineLevel="0" max="6" min="6" style="0" width="16"/>
    <col collapsed="false" customWidth="true" hidden="false" outlineLevel="0" max="7" min="7" style="0" width="13"/>
  </cols>
  <sheetData>
    <row r="1" customFormat="false" ht="31.5" hidden="false" customHeight="true" outlineLevel="0" collapsed="false">
      <c r="A1" s="4" t="s">
        <v>819</v>
      </c>
      <c r="B1" s="4" t="s">
        <v>820</v>
      </c>
      <c r="C1" s="4" t="s">
        <v>821</v>
      </c>
      <c r="D1" s="4" t="s">
        <v>86</v>
      </c>
      <c r="E1" s="4" t="s">
        <v>82</v>
      </c>
      <c r="F1" s="4" t="s">
        <v>822</v>
      </c>
      <c r="G1" s="4" t="s">
        <v>38</v>
      </c>
    </row>
    <row r="2" customFormat="false" ht="77.6" hidden="false" customHeight="false" outlineLevel="0" collapsed="false">
      <c r="A2" s="6" t="s">
        <v>39</v>
      </c>
      <c r="B2" s="6" t="s">
        <v>823</v>
      </c>
      <c r="C2" s="6" t="s">
        <v>824</v>
      </c>
      <c r="D2" s="5" t="n">
        <f aca="false">IF(TRIM(C2)="","",LEN(TRIM(C2))-LEN(SUBSTITUTE(TRIM(C2)," ",""))+1)</f>
        <v>90</v>
      </c>
      <c r="E2" s="5" t="str">
        <f aca="false">IF(TRIM(C2)="","",IF(LEN(TRIM(C2))-LEN(SUBSTITUTE(TRIM(C2)," ",""))+1&gt;120,"Too long",IF(LEN(TRIM(C2))-LEN(SUBSTITUTE(TRIM(C2)," ",""))+1&lt;80,"Too short","OK")))</f>
        <v>OK</v>
      </c>
      <c r="F2" s="6" t="s">
        <v>52</v>
      </c>
      <c r="G2" s="5" t="s">
        <v>92</v>
      </c>
    </row>
    <row r="3" customFormat="false" ht="15" hidden="false" customHeight="false" outlineLevel="0" collapsed="false">
      <c r="A3" s="6"/>
      <c r="B3" s="6"/>
      <c r="C3" s="6"/>
      <c r="D3" s="5" t="str">
        <f aca="false">IF(TRIM(C3)="","",LEN(TRIM(C3))-LEN(SUBSTITUTE(TRIM(C3)," ",""))+1)</f>
        <v/>
      </c>
      <c r="E3" s="5" t="str">
        <f aca="false">IF(TRIM(C3)="","",IF(LEN(TRIM(C3))-LEN(SUBSTITUTE(TRIM(C3)," ",""))+1&gt;120,"Too long",IF(LEN(TRIM(C3))-LEN(SUBSTITUTE(TRIM(C3)," ",""))+1&lt;80,"Too short","OK")))</f>
        <v/>
      </c>
      <c r="F3" s="6"/>
      <c r="G3" s="5" t="s">
        <v>56</v>
      </c>
    </row>
    <row r="4" customFormat="false" ht="15" hidden="false" customHeight="false" outlineLevel="0" collapsed="false">
      <c r="A4" s="6"/>
      <c r="B4" s="6"/>
      <c r="C4" s="6"/>
      <c r="D4" s="5" t="str">
        <f aca="false">IF(TRIM(C4)="","",LEN(TRIM(C4))-LEN(SUBSTITUTE(TRIM(C4)," ",""))+1)</f>
        <v/>
      </c>
      <c r="E4" s="5" t="str">
        <f aca="false">IF(TRIM(C4)="","",IF(LEN(TRIM(C4))-LEN(SUBSTITUTE(TRIM(C4)," ",""))+1&gt;120,"Too long",IF(LEN(TRIM(C4))-LEN(SUBSTITUTE(TRIM(C4)," ",""))+1&lt;80,"Too short","OK")))</f>
        <v/>
      </c>
      <c r="F4" s="6"/>
      <c r="G4" s="5" t="s">
        <v>56</v>
      </c>
    </row>
    <row r="5" customFormat="false" ht="15" hidden="false" customHeight="false" outlineLevel="0" collapsed="false">
      <c r="A5" s="6"/>
      <c r="B5" s="6"/>
      <c r="C5" s="6"/>
      <c r="D5" s="5" t="str">
        <f aca="false">IF(TRIM(C5)="","",LEN(TRIM(C5))-LEN(SUBSTITUTE(TRIM(C5)," ",""))+1)</f>
        <v/>
      </c>
      <c r="E5" s="5" t="str">
        <f aca="false">IF(TRIM(C5)="","",IF(LEN(TRIM(C5))-LEN(SUBSTITUTE(TRIM(C5)," ",""))+1&gt;120,"Too long",IF(LEN(TRIM(C5))-LEN(SUBSTITUTE(TRIM(C5)," ",""))+1&lt;80,"Too short","OK")))</f>
        <v/>
      </c>
      <c r="F5" s="6"/>
      <c r="G5" s="5" t="s">
        <v>56</v>
      </c>
    </row>
    <row r="6" customFormat="false" ht="15" hidden="false" customHeight="false" outlineLevel="0" collapsed="false">
      <c r="A6" s="6"/>
      <c r="B6" s="6"/>
      <c r="C6" s="6"/>
      <c r="D6" s="5" t="str">
        <f aca="false">IF(TRIM(C6)="","",LEN(TRIM(C6))-LEN(SUBSTITUTE(TRIM(C6)," ",""))+1)</f>
        <v/>
      </c>
      <c r="E6" s="5" t="str">
        <f aca="false">IF(TRIM(C6)="","",IF(LEN(TRIM(C6))-LEN(SUBSTITUTE(TRIM(C6)," ",""))+1&gt;120,"Too long",IF(LEN(TRIM(C6))-LEN(SUBSTITUTE(TRIM(C6)," ",""))+1&lt;80,"Too short","OK")))</f>
        <v/>
      </c>
      <c r="F6" s="6"/>
      <c r="G6" s="5" t="s">
        <v>56</v>
      </c>
    </row>
    <row r="7" customFormat="false" ht="15" hidden="false" customHeight="false" outlineLevel="0" collapsed="false">
      <c r="A7" s="6"/>
      <c r="B7" s="6"/>
      <c r="C7" s="6"/>
      <c r="D7" s="5" t="str">
        <f aca="false">IF(TRIM(C7)="","",LEN(TRIM(C7))-LEN(SUBSTITUTE(TRIM(C7)," ",""))+1)</f>
        <v/>
      </c>
      <c r="E7" s="5" t="str">
        <f aca="false">IF(TRIM(C7)="","",IF(LEN(TRIM(C7))-LEN(SUBSTITUTE(TRIM(C7)," ",""))+1&gt;120,"Too long",IF(LEN(TRIM(C7))-LEN(SUBSTITUTE(TRIM(C7)," ",""))+1&lt;80,"Too short","OK")))</f>
        <v/>
      </c>
      <c r="F7" s="6"/>
      <c r="G7" s="5" t="s">
        <v>56</v>
      </c>
    </row>
    <row r="8" customFormat="false" ht="15" hidden="false" customHeight="false" outlineLevel="0" collapsed="false">
      <c r="A8" s="6"/>
      <c r="B8" s="6"/>
      <c r="C8" s="6"/>
      <c r="D8" s="5" t="str">
        <f aca="false">IF(TRIM(C8)="","",LEN(TRIM(C8))-LEN(SUBSTITUTE(TRIM(C8)," ",""))+1)</f>
        <v/>
      </c>
      <c r="E8" s="5" t="str">
        <f aca="false">IF(TRIM(C8)="","",IF(LEN(TRIM(C8))-LEN(SUBSTITUTE(TRIM(C8)," ",""))+1&gt;120,"Too long",IF(LEN(TRIM(C8))-LEN(SUBSTITUTE(TRIM(C8)," ",""))+1&lt;80,"Too short","OK")))</f>
        <v/>
      </c>
      <c r="F8" s="6"/>
      <c r="G8" s="5" t="s">
        <v>56</v>
      </c>
    </row>
    <row r="9" customFormat="false" ht="15" hidden="false" customHeight="false" outlineLevel="0" collapsed="false">
      <c r="A9" s="6"/>
      <c r="B9" s="6"/>
      <c r="C9" s="6"/>
      <c r="D9" s="5" t="str">
        <f aca="false">IF(TRIM(C9)="","",LEN(TRIM(C9))-LEN(SUBSTITUTE(TRIM(C9)," ",""))+1)</f>
        <v/>
      </c>
      <c r="E9" s="5" t="str">
        <f aca="false">IF(TRIM(C9)="","",IF(LEN(TRIM(C9))-LEN(SUBSTITUTE(TRIM(C9)," ",""))+1&gt;120,"Too long",IF(LEN(TRIM(C9))-LEN(SUBSTITUTE(TRIM(C9)," ",""))+1&lt;80,"Too short","OK")))</f>
        <v/>
      </c>
      <c r="F9" s="6"/>
      <c r="G9" s="5" t="s">
        <v>56</v>
      </c>
    </row>
    <row r="10" customFormat="false" ht="15" hidden="false" customHeight="false" outlineLevel="0" collapsed="false">
      <c r="A10" s="6"/>
      <c r="B10" s="6"/>
      <c r="C10" s="6"/>
      <c r="D10" s="5" t="str">
        <f aca="false">IF(TRIM(C10)="","",LEN(TRIM(C10))-LEN(SUBSTITUTE(TRIM(C10)," ",""))+1)</f>
        <v/>
      </c>
      <c r="E10" s="5" t="str">
        <f aca="false">IF(TRIM(C10)="","",IF(LEN(TRIM(C10))-LEN(SUBSTITUTE(TRIM(C10)," ",""))+1&gt;120,"Too long",IF(LEN(TRIM(C10))-LEN(SUBSTITUTE(TRIM(C10)," ",""))+1&lt;80,"Too short","OK")))</f>
        <v/>
      </c>
      <c r="F10" s="6"/>
      <c r="G10" s="5" t="s">
        <v>56</v>
      </c>
    </row>
    <row r="11" customFormat="false" ht="15" hidden="false" customHeight="false" outlineLevel="0" collapsed="false">
      <c r="A11" s="6"/>
      <c r="B11" s="6"/>
      <c r="C11" s="6"/>
      <c r="D11" s="5" t="str">
        <f aca="false">IF(TRIM(C11)="","",LEN(TRIM(C11))-LEN(SUBSTITUTE(TRIM(C11)," ",""))+1)</f>
        <v/>
      </c>
      <c r="E11" s="5" t="str">
        <f aca="false">IF(TRIM(C11)="","",IF(LEN(TRIM(C11))-LEN(SUBSTITUTE(TRIM(C11)," ",""))+1&gt;120,"Too long",IF(LEN(TRIM(C11))-LEN(SUBSTITUTE(TRIM(C11)," ",""))+1&lt;80,"Too short","OK")))</f>
        <v/>
      </c>
      <c r="F11" s="6"/>
      <c r="G11" s="5" t="s">
        <v>56</v>
      </c>
    </row>
    <row r="12" customFormat="false" ht="15" hidden="false" customHeight="false" outlineLevel="0" collapsed="false">
      <c r="A12" s="6"/>
      <c r="B12" s="6"/>
      <c r="C12" s="6"/>
      <c r="D12" s="5" t="str">
        <f aca="false">IF(TRIM(C12)="","",LEN(TRIM(C12))-LEN(SUBSTITUTE(TRIM(C12)," ",""))+1)</f>
        <v/>
      </c>
      <c r="E12" s="5" t="str">
        <f aca="false">IF(TRIM(C12)="","",IF(LEN(TRIM(C12))-LEN(SUBSTITUTE(TRIM(C12)," ",""))+1&gt;120,"Too long",IF(LEN(TRIM(C12))-LEN(SUBSTITUTE(TRIM(C12)," ",""))+1&lt;80,"Too short","OK")))</f>
        <v/>
      </c>
      <c r="F12" s="6"/>
      <c r="G12" s="5" t="s">
        <v>56</v>
      </c>
    </row>
    <row r="13" customFormat="false" ht="15" hidden="false" customHeight="false" outlineLevel="0" collapsed="false">
      <c r="A13" s="6"/>
      <c r="B13" s="6"/>
      <c r="C13" s="6"/>
      <c r="D13" s="5" t="str">
        <f aca="false">IF(TRIM(C13)="","",LEN(TRIM(C13))-LEN(SUBSTITUTE(TRIM(C13)," ",""))+1)</f>
        <v/>
      </c>
      <c r="E13" s="5" t="str">
        <f aca="false">IF(TRIM(C13)="","",IF(LEN(TRIM(C13))-LEN(SUBSTITUTE(TRIM(C13)," ",""))+1&gt;120,"Too long",IF(LEN(TRIM(C13))-LEN(SUBSTITUTE(TRIM(C13)," ",""))+1&lt;80,"Too short","OK")))</f>
        <v/>
      </c>
      <c r="F13" s="6"/>
      <c r="G13" s="5" t="s">
        <v>56</v>
      </c>
    </row>
    <row r="14" customFormat="false" ht="15" hidden="false" customHeight="false" outlineLevel="0" collapsed="false">
      <c r="A14" s="6"/>
      <c r="B14" s="6"/>
      <c r="C14" s="6"/>
      <c r="D14" s="5" t="str">
        <f aca="false">IF(TRIM(C14)="","",LEN(TRIM(C14))-LEN(SUBSTITUTE(TRIM(C14)," ",""))+1)</f>
        <v/>
      </c>
      <c r="E14" s="5" t="str">
        <f aca="false">IF(TRIM(C14)="","",IF(LEN(TRIM(C14))-LEN(SUBSTITUTE(TRIM(C14)," ",""))+1&gt;120,"Too long",IF(LEN(TRIM(C14))-LEN(SUBSTITUTE(TRIM(C14)," ",""))+1&lt;80,"Too short","OK")))</f>
        <v/>
      </c>
      <c r="F14" s="6"/>
      <c r="G14" s="5" t="s">
        <v>56</v>
      </c>
    </row>
    <row r="15" customFormat="false" ht="15" hidden="false" customHeight="false" outlineLevel="0" collapsed="false">
      <c r="A15" s="6"/>
      <c r="B15" s="6"/>
      <c r="C15" s="6"/>
      <c r="D15" s="5" t="str">
        <f aca="false">IF(TRIM(C15)="","",LEN(TRIM(C15))-LEN(SUBSTITUTE(TRIM(C15)," ",""))+1)</f>
        <v/>
      </c>
      <c r="E15" s="5" t="str">
        <f aca="false">IF(TRIM(C15)="","",IF(LEN(TRIM(C15))-LEN(SUBSTITUTE(TRIM(C15)," ",""))+1&gt;120,"Too long",IF(LEN(TRIM(C15))-LEN(SUBSTITUTE(TRIM(C15)," ",""))+1&lt;80,"Too short","OK")))</f>
        <v/>
      </c>
      <c r="F15" s="6"/>
      <c r="G15" s="5" t="s">
        <v>56</v>
      </c>
    </row>
    <row r="16" customFormat="false" ht="15" hidden="false" customHeight="false" outlineLevel="0" collapsed="false">
      <c r="A16" s="6"/>
      <c r="B16" s="6"/>
      <c r="C16" s="6"/>
      <c r="D16" s="5" t="str">
        <f aca="false">IF(TRIM(C16)="","",LEN(TRIM(C16))-LEN(SUBSTITUTE(TRIM(C16)," ",""))+1)</f>
        <v/>
      </c>
      <c r="E16" s="5" t="str">
        <f aca="false">IF(TRIM(C16)="","",IF(LEN(TRIM(C16))-LEN(SUBSTITUTE(TRIM(C16)," ",""))+1&gt;120,"Too long",IF(LEN(TRIM(C16))-LEN(SUBSTITUTE(TRIM(C16)," ",""))+1&lt;80,"Too short","OK")))</f>
        <v/>
      </c>
      <c r="F16" s="6"/>
      <c r="G16" s="5" t="s">
        <v>56</v>
      </c>
    </row>
    <row r="17" customFormat="false" ht="15" hidden="false" customHeight="false" outlineLevel="0" collapsed="false">
      <c r="A17" s="6"/>
      <c r="B17" s="6"/>
      <c r="C17" s="6"/>
      <c r="D17" s="5" t="str">
        <f aca="false">IF(TRIM(C17)="","",LEN(TRIM(C17))-LEN(SUBSTITUTE(TRIM(C17)," ",""))+1)</f>
        <v/>
      </c>
      <c r="E17" s="5" t="str">
        <f aca="false">IF(TRIM(C17)="","",IF(LEN(TRIM(C17))-LEN(SUBSTITUTE(TRIM(C17)," ",""))+1&gt;120,"Too long",IF(LEN(TRIM(C17))-LEN(SUBSTITUTE(TRIM(C17)," ",""))+1&lt;80,"Too short","OK")))</f>
        <v/>
      </c>
      <c r="F17" s="6"/>
      <c r="G17" s="5" t="s">
        <v>56</v>
      </c>
    </row>
    <row r="19" customFormat="false" ht="15" hidden="false" customHeight="false" outlineLevel="0" collapsed="false">
      <c r="A19" s="7" t="s">
        <v>825</v>
      </c>
    </row>
  </sheetData>
  <autoFilter ref="A1:G17"/>
  <conditionalFormatting sqref="E2:E17">
    <cfRule type="expression" priority="2" aboveAverage="0" equalAverage="0" bottom="0" percent="0" rank="0" text="" dxfId="6">
      <formula>E2="OK"</formula>
    </cfRule>
    <cfRule type="expression" priority="3" aboveAverage="0" equalAverage="0" bottom="0" percent="0" rank="0" text="" dxfId="7">
      <formula>OR(E2="Too long",E2="Too short")</formula>
    </cfRule>
  </conditionalFormatting>
  <dataValidations count="1">
    <dataValidation allowBlank="true" errorStyle="stop" operator="between" showDropDown="false" showErrorMessage="false" showInputMessage="false" sqref="G2:G17" type="list">
      <formula1>"Not started,Draft,Ready,Needs fix,Live"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2026-10-02T21:25:56Z</dcterms:created>
  <dc:creator>openpyxl</dc:creator>
  <dc:description/>
  <dc:language>en-US</dc:language>
  <cp:lastModifiedBy/>
  <dcterms:modified xsi:type="dcterms:W3CDTF">2026-10-02T21:25:56Z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